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5.xml" ContentType="application/vnd.openxmlformats-officedocument.spreadsheetml.worksheet+xml"/>
  <Override PartName="/xl/worksheets/sheet18.xml" ContentType="application/vnd.openxmlformats-officedocument.spreadsheetml.worksheet+xml"/>
  <Override PartName="/xl/worksheets/sheet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firstSheet="25" activeTab="28"/>
  </bookViews>
  <sheets>
    <sheet sheetId="45" name="Sysco Order Guide - Kitchen" state="visible" r:id="rId4"/>
    <sheet sheetId="18" name="Recipe Bible Table of Contents" state="visible" r:id="rId5"/>
    <sheet sheetId="7" name="Prep Sheets" state="visible" r:id="rId6"/>
    <sheet sheetId="2" name="Pantry" state="visible" r:id="rId7"/>
    <sheet sheetId="3" name="GrillPlancha" state="visible" r:id="rId8"/>
  </sheets>
  <definedNames>
    <definedName name="_xlnm.Print_Area" localSheetId="0">'Sysco Order Guide - Kitchen'!$A1:$J51</definedName>
    <definedName name="_xlnm.Print_Area" localSheetId="1">'Recipe Bible Table of Contents'!$A1:$G38</definedName>
    <definedName name="_xlnm.Print_Area" localSheetId="2">'Prep Sheets'!$A1:$R26</definedName>
    <definedName name="_xlnm.Print_Area" localSheetId="3">'Pantry'!$A1:$J59</definedName>
    <definedName name="_xlnm.Print_Area" localSheetId="4">'GrillPlancha'!$A1:$J53</definedName>
  </definedName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C18" authorId="0">
      <text>
        <r>
          <rPr>
            <b/>
            <color indexed="81"/>
            <family val="2"/>
            <sz val="9"/>
            <rFont val="Tahoma"/>
          </rPr>
          <t>Chef Kenny:</t>
        </r>
        <r>
          <rPr>
            <color indexed="81"/>
            <family val="2"/>
            <sz val="9"/>
            <rFont val="Tahoma"/>
          </rPr>
          <t xml:space="preserve">
temp. we will be going to 2 (3 oz.) patties once in stock.</t>
        </r>
      </text>
    </comment>
    <comment ref="C30" authorId="0">
      <text>
        <r>
          <rPr>
            <b/>
            <color indexed="81"/>
            <family val="2"/>
            <sz val="9"/>
            <rFont val="Tahoma"/>
          </rPr>
          <t>Chef Kenny:</t>
        </r>
        <r>
          <rPr>
            <color indexed="81"/>
            <family val="2"/>
            <sz val="9"/>
            <rFont val="Tahoma"/>
          </rPr>
          <t xml:space="preserve">
temp. we will be going to 2 (3 oz.) patties once in stock.</t>
        </r>
      </text>
    </comment>
  </commentList>
</comments>
</file>

<file path=xl/sharedStrings.xml><?xml version="1.0" encoding="utf-8"?>
<sst xmlns="http://schemas.openxmlformats.org/spreadsheetml/2006/main" count="843" uniqueCount="284">
  <si>
    <t>Sysco Order Guide</t>
  </si>
  <si>
    <t>REP- PHONE NUMBER: Richard Boston</t>
  </si>
  <si>
    <t xml:space="preserve"> </t>
  </si>
  <si>
    <t>Sku</t>
  </si>
  <si>
    <t>ITEM NAME</t>
  </si>
  <si>
    <t>PACK SIZE</t>
  </si>
  <si>
    <t>Par</t>
  </si>
  <si>
    <t>Sunday</t>
  </si>
  <si>
    <t>Tuesday</t>
  </si>
  <si>
    <t>Thursday</t>
  </si>
  <si>
    <t>Paper &amp; Disposable</t>
  </si>
  <si>
    <t>On-Hand</t>
  </si>
  <si>
    <t>Order</t>
  </si>
  <si>
    <t>9x9 to go container</t>
  </si>
  <si>
    <t>case</t>
  </si>
  <si>
    <t>3 cs</t>
  </si>
  <si>
    <t>6x6 to go container</t>
  </si>
  <si>
    <t>4" Knot Skewer</t>
  </si>
  <si>
    <t>100ct</t>
  </si>
  <si>
    <t>1cs</t>
  </si>
  <si>
    <t>1 Gallon Ziplock Bags</t>
  </si>
  <si>
    <t>144ct</t>
  </si>
  <si>
    <t>Beverage Napkins</t>
  </si>
  <si>
    <t>250ct</t>
  </si>
  <si>
    <t>5 cs</t>
  </si>
  <si>
    <t>C-Fold Towels</t>
  </si>
  <si>
    <t>16/135ct</t>
  </si>
  <si>
    <t>32 oz Deli Containers</t>
  </si>
  <si>
    <t>16 oz Deli Containers</t>
  </si>
  <si>
    <t>8 oz Deli Containers</t>
  </si>
  <si>
    <t>Hairnet</t>
  </si>
  <si>
    <t>1ea</t>
  </si>
  <si>
    <t>Beard Guard</t>
  </si>
  <si>
    <t>Piping Bags</t>
  </si>
  <si>
    <t xml:space="preserve">100 ct </t>
  </si>
  <si>
    <t>Nitrile Black Gloves Med</t>
  </si>
  <si>
    <t>10/100ct</t>
  </si>
  <si>
    <t>Nitrile Black Gloves Large</t>
  </si>
  <si>
    <t>Nitrile Black Gloves XL</t>
  </si>
  <si>
    <t>To-Go Bags Small</t>
  </si>
  <si>
    <t>1/200ct</t>
  </si>
  <si>
    <t>Trash Bags</t>
  </si>
  <si>
    <t>2cs</t>
  </si>
  <si>
    <t>18" Plastic Wrap</t>
  </si>
  <si>
    <t>each</t>
  </si>
  <si>
    <t>12" Plastic Wrap</t>
  </si>
  <si>
    <t>18" Foil</t>
  </si>
  <si>
    <t>Pink Chix Towels</t>
  </si>
  <si>
    <t>200ct</t>
  </si>
  <si>
    <t>Plastic Tasting Spoons</t>
  </si>
  <si>
    <t>.25cs</t>
  </si>
  <si>
    <t>Label Roll</t>
  </si>
  <si>
    <t>500ct</t>
  </si>
  <si>
    <t>3ea</t>
  </si>
  <si>
    <t xml:space="preserve">Pan Liner, parchment </t>
  </si>
  <si>
    <t>16x24</t>
  </si>
  <si>
    <t>Pan Liner Bags</t>
  </si>
  <si>
    <t>Brown Basket Liner 12x12</t>
  </si>
  <si>
    <t>1/2000ct</t>
  </si>
  <si>
    <t>Filter Coffee Tea 1.5 Gallon 13x5</t>
  </si>
  <si>
    <t>2/250ct</t>
  </si>
  <si>
    <t>1 Ply Printer Paper 3"</t>
  </si>
  <si>
    <t>50ct</t>
  </si>
  <si>
    <t>1 cs</t>
  </si>
  <si>
    <t>Dinner Napkins 17x17</t>
  </si>
  <si>
    <t>4/75ct</t>
  </si>
  <si>
    <t>Coffee Cup 12oz</t>
  </si>
  <si>
    <t>20/50ct</t>
  </si>
  <si>
    <t>Coffe Cup Lids 12oz</t>
  </si>
  <si>
    <t>4471223</t>
  </si>
  <si>
    <t>Thermal Paper 3 1/8"</t>
  </si>
  <si>
    <t>4528461</t>
  </si>
  <si>
    <t>Dispenser Napkin</t>
  </si>
  <si>
    <t>24/250ct</t>
  </si>
  <si>
    <t>Java Jackets</t>
  </si>
  <si>
    <t>1300ct</t>
  </si>
  <si>
    <t>Chemicals</t>
  </si>
  <si>
    <t xml:space="preserve">True Power Detergent </t>
  </si>
  <si>
    <t>Gallon</t>
  </si>
  <si>
    <t>2ea</t>
  </si>
  <si>
    <t>Bar?</t>
  </si>
  <si>
    <t>True Power Rinse Additive</t>
  </si>
  <si>
    <t>Nexa Hand Soap</t>
  </si>
  <si>
    <t>750ml</t>
  </si>
  <si>
    <t>6ea</t>
  </si>
  <si>
    <t>Rapid MS Disenfectant Cleaner</t>
  </si>
  <si>
    <t>2.5 gallon</t>
  </si>
  <si>
    <t>Oasis Multi Quat</t>
  </si>
  <si>
    <t>No rinse ALK Floor Cleaner</t>
  </si>
  <si>
    <t>Pantastic</t>
  </si>
  <si>
    <t>4/1gal</t>
  </si>
  <si>
    <t>Pot and Pan Green</t>
  </si>
  <si>
    <t>Grease Strip</t>
  </si>
  <si>
    <t>4/32oz</t>
  </si>
  <si>
    <t>Delimer</t>
  </si>
  <si>
    <t>Recipe Bible Table of Contents</t>
  </si>
  <si>
    <t>#</t>
  </si>
  <si>
    <t>Line Check</t>
  </si>
  <si>
    <t>Prep Time</t>
  </si>
  <si>
    <t>Shelf Life</t>
  </si>
  <si>
    <t>Recipe</t>
  </si>
  <si>
    <t>Used For</t>
  </si>
  <si>
    <t>Shift</t>
  </si>
  <si>
    <t>10 minutes</t>
  </si>
  <si>
    <t>7 days</t>
  </si>
  <si>
    <t>Jerk BBQ Sauce</t>
  </si>
  <si>
    <t>Wings/Leg Quarters</t>
  </si>
  <si>
    <t>lunch/dinner</t>
  </si>
  <si>
    <t>50 minutes</t>
  </si>
  <si>
    <t>Black Pepper Queso</t>
  </si>
  <si>
    <t>Shrimp &amp; Grits/Mac</t>
  </si>
  <si>
    <t>Breakfast/Lunch</t>
  </si>
  <si>
    <t>1 hour</t>
  </si>
  <si>
    <t>Smoked Jerk Chicken Wings</t>
  </si>
  <si>
    <t>Wings</t>
  </si>
  <si>
    <t>30 minutes</t>
  </si>
  <si>
    <t>30 days</t>
  </si>
  <si>
    <t>Pickled Red Onions</t>
  </si>
  <si>
    <t>Flounder/Brisket</t>
  </si>
  <si>
    <t>20 minutes</t>
  </si>
  <si>
    <t>14 days</t>
  </si>
  <si>
    <t>Florida Citrus Mop</t>
  </si>
  <si>
    <t>Pork Burnt Ends</t>
  </si>
  <si>
    <t>15 minutes</t>
  </si>
  <si>
    <t>Alabama White BBQ Sauce</t>
  </si>
  <si>
    <t>Loaded Fries/Flounder</t>
  </si>
  <si>
    <t>Fried Chicken Dredge</t>
  </si>
  <si>
    <t>Fried Chicken Breast</t>
  </si>
  <si>
    <t>B/L/D</t>
  </si>
  <si>
    <t>Biscuit Croutons</t>
  </si>
  <si>
    <t>Caesar Salad</t>
  </si>
  <si>
    <t>25 minutes</t>
  </si>
  <si>
    <t>Carolina Gold Rice</t>
  </si>
  <si>
    <t>Hoppin John</t>
  </si>
  <si>
    <t>Black Eyed Peas</t>
  </si>
  <si>
    <t>Fry Seasoning</t>
  </si>
  <si>
    <t>Waffle Fries</t>
  </si>
  <si>
    <t>Pickled Pineapple</t>
  </si>
  <si>
    <t>Blanched Shell Pasta</t>
  </si>
  <si>
    <t>Mac and Cheese</t>
  </si>
  <si>
    <t>Marinated Par Cooked Chicken Breasts</t>
  </si>
  <si>
    <t>Chicken Sando</t>
  </si>
  <si>
    <t>Buttermilk Egg Battered Chicken Breasts</t>
  </si>
  <si>
    <t>Black Pepper Milk Gravy</t>
  </si>
  <si>
    <t>Biscuits &amp; Gravy</t>
  </si>
  <si>
    <t>Breakfast</t>
  </si>
  <si>
    <t>Smoked Bacon Onion Jam</t>
  </si>
  <si>
    <t>Smash Burger</t>
  </si>
  <si>
    <t>2 days</t>
  </si>
  <si>
    <t>Vanilla Whipped Cream</t>
  </si>
  <si>
    <t>Root Beer Float</t>
  </si>
  <si>
    <t>Creamy BBQ Slaw</t>
  </si>
  <si>
    <t>Side</t>
  </si>
  <si>
    <t>Prep Sheets</t>
  </si>
  <si>
    <t>Item</t>
  </si>
  <si>
    <t xml:space="preserve">Par </t>
  </si>
  <si>
    <t>Monday</t>
  </si>
  <si>
    <t>Wednesday</t>
  </si>
  <si>
    <t>Friday</t>
  </si>
  <si>
    <t>Saturday</t>
  </si>
  <si>
    <t>8 quarts</t>
  </si>
  <si>
    <t>22 quart</t>
  </si>
  <si>
    <t>3 cases</t>
  </si>
  <si>
    <t>4 quarts</t>
  </si>
  <si>
    <t>Sliced Andouille Sausage</t>
  </si>
  <si>
    <t>2 cases</t>
  </si>
  <si>
    <t>Chop Smoked Beef Brisket</t>
  </si>
  <si>
    <t>4 cases</t>
  </si>
  <si>
    <t>10 quarts</t>
  </si>
  <si>
    <t>1 batch</t>
  </si>
  <si>
    <t>3 gallon bags</t>
  </si>
  <si>
    <t>6 gallons</t>
  </si>
  <si>
    <t>Baby Gem Lettuce, cleaned</t>
  </si>
  <si>
    <t>Load up 600 pans - Burgers</t>
  </si>
  <si>
    <t>3 (600 pans)</t>
  </si>
  <si>
    <t>2 quarts</t>
  </si>
  <si>
    <t>Tray up Smoked Bacon</t>
  </si>
  <si>
    <t>12 quarts</t>
  </si>
  <si>
    <t>4 bags</t>
  </si>
  <si>
    <t xml:space="preserve"> </t>
  </si>
  <si>
    <t>Pantry</t>
  </si>
  <si>
    <t>Dish Name: Pimento Cheese Jar| Assorted Veggies, Crackers $14</t>
  </si>
  <si>
    <t xml:space="preserve">Allergen code: </t>
  </si>
  <si>
    <t>ct</t>
  </si>
  <si>
    <t>Ingredients</t>
  </si>
  <si>
    <t>Amount</t>
  </si>
  <si>
    <t>Cost</t>
  </si>
  <si>
    <t>Price</t>
  </si>
  <si>
    <t>Persian Cucumber</t>
  </si>
  <si>
    <t>Sweet Baby Peppers</t>
  </si>
  <si>
    <t>1 each</t>
  </si>
  <si>
    <t>Baby Carrot, halved</t>
  </si>
  <si>
    <t>Artisan Crackers</t>
  </si>
  <si>
    <t>3 pcs</t>
  </si>
  <si>
    <t>Breakfast Radish</t>
  </si>
  <si>
    <t>Pimento Cheese</t>
  </si>
  <si>
    <t xml:space="preserve">4 oz. </t>
  </si>
  <si>
    <t>Profit</t>
  </si>
  <si>
    <t>Dish Name: Buttermilk Drop Biscuits| Honey Butter, Strawberry Jam $12</t>
  </si>
  <si>
    <t>KEVIN LOOK&gt;&gt;&gt;&gt;&gt;&gt;</t>
  </si>
  <si>
    <t>Buttermilk Drop Biscuits</t>
  </si>
  <si>
    <t>2 ea</t>
  </si>
  <si>
    <t>Honey Butter</t>
  </si>
  <si>
    <t>1 oz</t>
  </si>
  <si>
    <t>Strawberry Jam</t>
  </si>
  <si>
    <t>1 oz.</t>
  </si>
  <si>
    <r>
      <t xml:space="preserve">Dish Name: Caesar Salad| </t>
    </r>
    <r>
      <rPr>
        <color rgb="FF000000"/>
        <family val="2"/>
        <sz val="11"/>
        <rFont val="Calibri"/>
      </rPr>
      <t>Oven Dried Tomatoes, Kalamatta Olives, Biscuit Croutons, Parmesan</t>
    </r>
    <r>
      <rPr>
        <b/>
        <color rgb="FF000000"/>
        <family val="2"/>
        <sz val="11"/>
        <rFont val="Calibri"/>
      </rPr>
      <t xml:space="preserve"> 14</t>
    </r>
  </si>
  <si>
    <t>Baby Gem Lettuce</t>
  </si>
  <si>
    <t>1 Head</t>
  </si>
  <si>
    <t>Parmesan</t>
  </si>
  <si>
    <t>1/4 cup</t>
  </si>
  <si>
    <t>Oven Dried Tomatoes</t>
  </si>
  <si>
    <t xml:space="preserve">2 oz. </t>
  </si>
  <si>
    <t>Kalamatta Olives</t>
  </si>
  <si>
    <t>Caesar Dressing</t>
  </si>
  <si>
    <t xml:space="preserve">Retail </t>
  </si>
  <si>
    <t>Add on Grilled Chicken Breast</t>
  </si>
  <si>
    <t>6 oz</t>
  </si>
  <si>
    <t>Add Chopped Brisket</t>
  </si>
  <si>
    <t xml:space="preserve">6 oz. </t>
  </si>
  <si>
    <t>Add Pork Burnt Ends</t>
  </si>
  <si>
    <t>Add Flounder, Fried</t>
  </si>
  <si>
    <t>Dish Name: Sides: Creamy BBQ Slaw $8</t>
  </si>
  <si>
    <t>Shaved Cabbage</t>
  </si>
  <si>
    <t>Alabama White BBQ</t>
  </si>
  <si>
    <t>Sugar</t>
  </si>
  <si>
    <t>1 Tb.</t>
  </si>
  <si>
    <t>Dish Name: Root Beer Float| Vanilla Ice Cream, Root Beer, Whipped Cream $11</t>
  </si>
  <si>
    <t>Root Beer</t>
  </si>
  <si>
    <t xml:space="preserve">6 oz </t>
  </si>
  <si>
    <t xml:space="preserve">Vanilla Ice Cream </t>
  </si>
  <si>
    <t>3 oz</t>
  </si>
  <si>
    <t xml:space="preserve">Whipped Cream </t>
  </si>
  <si>
    <t>Dish Name: Vanilla Ice Cream| Two Scoops $9</t>
  </si>
  <si>
    <t>Vanilla Ice Cream</t>
  </si>
  <si>
    <t>2 (3 oz) Scoops</t>
  </si>
  <si>
    <t>Mint Leaves</t>
  </si>
  <si>
    <t>3 each</t>
  </si>
  <si>
    <t>Grill/Plancha</t>
  </si>
  <si>
    <r>
      <t>Name of Dish: Chargrilled Jerk Chicken Wings|</t>
    </r>
    <r>
      <rPr>
        <color rgb="FF000000"/>
        <family val="2"/>
        <sz val="11"/>
        <rFont val="Calibri"/>
      </rPr>
      <t xml:space="preserve"> Jerk BBQ Sauce, Pickled Pineapple, Cilantro</t>
    </r>
    <r>
      <rPr>
        <b/>
        <color rgb="FF000000"/>
        <family val="2"/>
        <sz val="11"/>
        <rFont val="Calibri"/>
      </rPr>
      <t xml:space="preserve"> $18</t>
    </r>
  </si>
  <si>
    <t>Par Cooked Jerk Chicken Wings</t>
  </si>
  <si>
    <t>6 pcs</t>
  </si>
  <si>
    <t xml:space="preserve">3 oz. </t>
  </si>
  <si>
    <t>Cilantro Leaves</t>
  </si>
  <si>
    <t>CKG Jerk Spice</t>
  </si>
  <si>
    <t>sprinkle</t>
  </si>
  <si>
    <r>
      <t>Name of Dish: Smashburger|</t>
    </r>
    <r>
      <rPr>
        <color rgb="FF000000"/>
        <family val="2"/>
        <sz val="12"/>
        <rFont val="Calibri"/>
      </rPr>
      <t>Pretzel Bun, Smoked Gouda Cheese, Bacon Onion Jam</t>
    </r>
    <r>
      <rPr>
        <b/>
        <color rgb="FF000000"/>
        <family val="2"/>
        <sz val="12"/>
        <rFont val="Calibri"/>
      </rPr>
      <t xml:space="preserve"> $24</t>
    </r>
  </si>
  <si>
    <t>Smoked Gouda Cheese</t>
  </si>
  <si>
    <t>2 slice</t>
  </si>
  <si>
    <t>Bacon Onion Jam</t>
  </si>
  <si>
    <t>2 (4 oz.) Burgers</t>
  </si>
  <si>
    <t>8 oz.</t>
  </si>
  <si>
    <t>House Pickles</t>
  </si>
  <si>
    <t>Choice of Side</t>
  </si>
  <si>
    <t xml:space="preserve">Pretzel Bun </t>
  </si>
  <si>
    <t>Name of Dish: Smokehouse Smash Burger|Smash Burger, Brisket + Pork Burnt Ends, Half and Half BBQ Sauce, Pickled Jalapeños on Pretzel Bun $27</t>
  </si>
  <si>
    <t>Half and Half BBQ Sauce</t>
  </si>
  <si>
    <t xml:space="preserve">1 oz </t>
  </si>
  <si>
    <t>Chopped Drunk Beef Brisket</t>
  </si>
  <si>
    <t xml:space="preserve">2 oz </t>
  </si>
  <si>
    <t xml:space="preserve">Pork Burnt Ends </t>
  </si>
  <si>
    <t>1 (4 oz.) Burgers</t>
  </si>
  <si>
    <r>
      <t xml:space="preserve">Name of Dish: Chopped Smoked Beef Brisket Sandwich| </t>
    </r>
    <r>
      <rPr>
        <color rgb="FF000000"/>
        <family val="2"/>
        <sz val="12"/>
        <rFont val="Calibri"/>
      </rPr>
      <t>Pretzel Bun, Pickled Onions + Jalapeno Peppers, Sweet Tomato Molasses BBQ Sauce</t>
    </r>
    <r>
      <rPr>
        <b/>
        <color rgb="FF000000"/>
        <family val="2"/>
        <sz val="12"/>
        <rFont val="Calibri"/>
      </rPr>
      <t xml:space="preserve"> $22</t>
    </r>
  </si>
  <si>
    <t>Chopped Smoked Beef Brisket</t>
  </si>
  <si>
    <t xml:space="preserve">1 oz. </t>
  </si>
  <si>
    <t>Pickled Jalapeno Peppers</t>
  </si>
  <si>
    <t>Choice of 1 side</t>
  </si>
  <si>
    <t>Sweet Tomato Molasses BBQ Sauce</t>
  </si>
  <si>
    <r>
      <t xml:space="preserve">Name of Dish: Smoked Pork Burnt End Sandwich| </t>
    </r>
    <r>
      <rPr>
        <color rgb="FF000000"/>
        <family val="2"/>
        <sz val="11"/>
        <rFont val="Calibri"/>
      </rPr>
      <t>Pretzel Bun, Mop + Mustard BBQ Sauce</t>
    </r>
    <r>
      <rPr>
        <b/>
        <color rgb="FF000000"/>
        <family val="2"/>
        <sz val="11"/>
        <rFont val="Calibri"/>
      </rPr>
      <t xml:space="preserve"> $18</t>
    </r>
  </si>
  <si>
    <t>Smoked Pork Burnt Ends</t>
  </si>
  <si>
    <t>FL Citrus Mop</t>
  </si>
  <si>
    <t>SC Mustard BBQ Sauce</t>
  </si>
  <si>
    <r>
      <t xml:space="preserve">Smoked Rib Platter| </t>
    </r>
    <r>
      <rPr>
        <color rgb="FF000000"/>
        <family val="2"/>
        <sz val="9"/>
        <rFont val="Calibri"/>
      </rPr>
      <t>Half Slab Smoked Ribs, Seasoned waffle Fries, Creamy BBQ Slaw, House Pickles, BBQ Sauce</t>
    </r>
    <r>
      <rPr>
        <b/>
        <color rgb="FF000000"/>
        <family val="2"/>
        <sz val="9"/>
        <rFont val="Calibri"/>
      </rPr>
      <t xml:space="preserve"> $25</t>
    </r>
  </si>
  <si>
    <t>Half Slab Smoked Ribs</t>
  </si>
  <si>
    <t>7 bones</t>
  </si>
  <si>
    <t>Seasoned Waffle Fries</t>
  </si>
  <si>
    <r>
      <t xml:space="preserve">Name of dish: Grilled Chicken &amp; Biscuit Sandwich| </t>
    </r>
    <r>
      <rPr>
        <color rgb="FF000000"/>
        <family val="2"/>
        <sz val="10"/>
        <rFont val="Calibri"/>
      </rPr>
      <t>Jalapeno Cheddar Drop Biscuit, Datil Pepper Jelly</t>
    </r>
    <r>
      <rPr>
        <b/>
        <color rgb="FF000000"/>
        <family val="2"/>
        <sz val="10"/>
        <rFont val="Calibri"/>
      </rPr>
      <t xml:space="preserve"> $21</t>
    </r>
  </si>
  <si>
    <t>Grilled Chicken Breast, PC</t>
  </si>
  <si>
    <t>Jalapeno Cheddar Drop Biscuit</t>
  </si>
  <si>
    <t>Datil Pepper Jelly</t>
  </si>
  <si>
    <t>Sides</t>
  </si>
  <si>
    <t>Name of dish: Hoppin John</t>
  </si>
  <si>
    <t>Braised Black Eyed Peas</t>
  </si>
  <si>
    <t>Buttery  Carolina Gold 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</si>
</sst>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&quot;$&quot;* #,##0.00_);_(&quot;$&quot;* (#,##0.00);_(&quot;$&quot;* &quot;-&quot;??_);_(@_)"/>
    <numFmt numFmtId="165" formatCode="_([$$-409]* #,##0.00_);_([$$-409]* (#,##0.00);_([$$-409]* &quot;-&quot;??_);_(@_)"/>
  </numFmts>
  <fonts count="35" x14ac:knownFonts="1">
    <font>
      <color theme="1"/>
      <family val="2"/>
      <scheme val="minor"/>
      <sz val="11"/>
      <name val="Calibri"/>
    </font>
    <font>
      <b/>
      <color rgb="FF000000"/>
      <family val="2"/>
      <sz val="12"/>
      <name val="Calibri"/>
    </font>
    <font>
      <color rgb="FF000000"/>
      <family val="2"/>
      <sz val="11"/>
      <name val="Calibri"/>
    </font>
    <font>
      <b/>
      <color rgb="FF000000"/>
      <family val="2"/>
      <sz val="11"/>
      <name val="Calibri"/>
    </font>
    <font>
      <b/>
      <color rgb="FF000000"/>
      <family val="2"/>
      <sz val="14"/>
      <name val="Calibri"/>
    </font>
    <font>
      <b/>
      <i/>
      <color rgb="FF000000"/>
      <family val="2"/>
      <sz val="11"/>
      <name val="Calibri"/>
    </font>
    <font>
      <b/>
      <i/>
      <color rgb="FF000000"/>
      <family val="2"/>
      <sz val="10"/>
      <name val="Calibri"/>
    </font>
    <font>
      <color rgb="FF000000"/>
      <family val="2"/>
      <sz val="8"/>
      <name val="Calibri"/>
    </font>
    <font>
      <color rgb="FF000000"/>
      <family val="2"/>
      <sz val="10"/>
      <name val="Calibri"/>
    </font>
    <font>
      <color theme="1"/>
      <family val="2"/>
      <scheme val="minor"/>
      <sz val="11"/>
      <name val="Aptos Narrow"/>
    </font>
    <font>
      <color theme="1"/>
      <family val="2"/>
      <sz val="11"/>
      <name val="Calibri"/>
    </font>
    <font>
      <u/>
      <color rgb="FF0563C1"/>
      <family val="2"/>
      <sz val="11"/>
      <name val="Calibri"/>
    </font>
    <font>
      <color rgb="FF000000"/>
      <family val="2"/>
      <sz val="9"/>
      <name val="Calibri"/>
    </font>
    <font>
      <b/>
      <color rgb="FF000000"/>
      <family val="2"/>
      <sz val="16"/>
      <name val="Calibri"/>
    </font>
    <font>
      <color rgb="FF000000"/>
      <family val="2"/>
      <sz val="16"/>
      <name val="Calibri"/>
    </font>
    <font>
      <color rgb="FF000000"/>
      <family val="2"/>
      <sz val="12"/>
      <name val="Calibri"/>
    </font>
    <font>
      <color theme="1"/>
      <family val="2"/>
      <scheme val="minor"/>
      <sz val="12"/>
      <name val="Aptos Narrow"/>
    </font>
    <font>
      <color theme="1"/>
      <family val="2"/>
      <scheme val="minor"/>
      <sz val="10"/>
      <name val="Aptos Narrow"/>
    </font>
    <font>
      <b/>
      <color rgb="FF000000"/>
      <family val="2"/>
      <scheme val="minor"/>
      <sz val="11"/>
      <name val="Aptos Narrow"/>
    </font>
    <font>
      <color rgb="FF000000"/>
      <family val="2"/>
      <scheme val="minor"/>
      <sz val="10"/>
      <name val="Aptos Narrow"/>
    </font>
    <font>
      <color rgb="FF000000"/>
      <family val="2"/>
      <sz val="11"/>
      <name val="Aptos Narrow"/>
    </font>
    <font>
      <b/>
      <color rgb="FF000000"/>
      <family val="2"/>
      <scheme val="minor"/>
      <sz val="10"/>
      <name val="Aptos Narrow"/>
    </font>
    <font>
      <family val="2"/>
      <sz val="11"/>
      <name val="Calibri"/>
    </font>
    <font>
      <color theme="1"/>
      <family val="2"/>
      <scheme val="minor"/>
      <sz val="8"/>
      <name val="Aptos Narrow"/>
    </font>
    <font>
      <family val="2"/>
      <sz val="8"/>
      <name val="Calibri"/>
    </font>
    <font>
      <b/>
      <color theme="1"/>
      <family val="2"/>
      <scheme val="minor"/>
      <sz val="11"/>
      <name val="Aptos Narrow"/>
    </font>
    <font>
      <color rgb="FF000000"/>
      <family val="2"/>
      <scheme val="minor"/>
      <sz val="8"/>
      <name val="Aptos Narrow"/>
    </font>
    <font>
      <color theme="1"/>
      <family val="2"/>
      <scheme val="minor"/>
      <sz val="9"/>
      <name val="Aptos Narrow"/>
    </font>
    <font>
      <family val="2"/>
      <sz val="9"/>
      <name val="Calibri"/>
    </font>
    <font>
      <family val="2"/>
      <sz val="12"/>
      <name val="Calibri"/>
    </font>
    <font>
      <b/>
      <color rgb="FF000000"/>
      <family val="2"/>
      <sz val="10"/>
      <name val="Calibri"/>
    </font>
    <font>
      <family val="2"/>
      <sz val="10"/>
      <name val="Calibri"/>
    </font>
    <font>
      <b/>
      <color rgb="FF000000"/>
      <family val="2"/>
      <sz val="9"/>
      <name val="Calibri"/>
    </font>
    <font>
      <color rgb="FF000000"/>
      <family val="2"/>
      <scheme val="minor"/>
      <sz val="9"/>
      <name val="Aptos Narrow"/>
    </font>
    <font>
      <color rgb="FF000000"/>
      <family val="2"/>
      <scheme val="minor"/>
      <sz val="11"/>
      <name val="Aptos Narrow"/>
    </font>
  </fonts>
  <fills count="17">
    <fill>
      <patternFill patternType="none"/>
    </fill>
    <fill>
      <patternFill patternType="gray125"/>
    </fill>
    <fill>
      <patternFill patternType="solid">
        <fgColor rgb="FF00B0F0"/>
        <bgColor rgb="FF000000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808080"/>
      </patternFill>
    </fill>
    <fill>
      <patternFill patternType="solid">
        <fgColor rgb="FF00B0F0"/>
        <bgColor rgb="FF808080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92D050"/>
      </patternFill>
    </fill>
    <fill>
      <patternFill patternType="solid">
        <fgColor theme="4" tint="0.5999938962981048"/>
        <bgColor rgb="FF92D050"/>
      </patternFill>
    </fill>
    <fill>
      <patternFill patternType="solid">
        <fgColor theme="0" tint="-0.1499984740745262"/>
        <bgColor rgb="FF000000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0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2" fillId="0" borderId="0" xfId="0" applyFont="1"/>
    <xf numFmtId="0" fontId="1" fillId="3" borderId="4" xfId="0" applyFont="1" applyFill="1" applyBorder="1" applyAlignment="1">
      <alignment horizontal="center" wrapText="1"/>
    </xf>
    <xf numFmtId="0" fontId="1" fillId="3" borderId="5" xfId="0" applyFont="1" applyFill="1" applyBorder="1" applyAlignment="1">
      <alignment horizontal="center" wrapText="1"/>
    </xf>
    <xf numFmtId="0" fontId="1" fillId="3" borderId="6" xfId="0" applyFont="1" applyFill="1" applyBorder="1" applyAlignment="1">
      <alignment horizontal="center" wrapText="1"/>
    </xf>
    <xf numFmtId="0" fontId="3" fillId="4" borderId="0" xfId="0" applyFont="1" applyFill="1"/>
    <xf numFmtId="0" fontId="2" fillId="4" borderId="0" xfId="0" applyFont="1" applyFill="1"/>
    <xf numFmtId="0" fontId="4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7" fillId="6" borderId="15" xfId="0" applyFont="1" applyFill="1" applyBorder="1" applyAlignment="1">
      <alignment horizontal="center" vertical="center"/>
    </xf>
    <xf numFmtId="0" fontId="7" fillId="6" borderId="16" xfId="0" applyFont="1" applyFill="1" applyBorder="1" applyAlignment="1">
      <alignment horizontal="center" vertical="center"/>
    </xf>
    <xf numFmtId="0" fontId="2" fillId="0" borderId="17" xfId="0" applyFont="1" applyBorder="1"/>
    <xf numFmtId="0" fontId="2" fillId="0" borderId="18" xfId="0" applyFont="1" applyBorder="1"/>
    <xf numFmtId="0" fontId="8" fillId="4" borderId="18" xfId="0" applyFont="1" applyFill="1" applyBorder="1" applyAlignment="1">
      <alignment horizontal="center"/>
    </xf>
    <xf numFmtId="0" fontId="2" fillId="7" borderId="18" xfId="0" applyFont="1" applyFill="1" applyBorder="1" applyAlignment="1">
      <alignment horizontal="center"/>
    </xf>
    <xf numFmtId="0" fontId="2" fillId="8" borderId="18" xfId="0" applyFont="1" applyFill="1" applyBorder="1"/>
    <xf numFmtId="0" fontId="2" fillId="4" borderId="18" xfId="0" applyFont="1" applyFill="1" applyBorder="1"/>
    <xf numFmtId="0" fontId="2" fillId="4" borderId="19" xfId="0" applyFont="1" applyFill="1" applyBorder="1"/>
    <xf numFmtId="0" fontId="8" fillId="0" borderId="0" xfId="0" applyFont="1"/>
    <xf numFmtId="0" fontId="8" fillId="4" borderId="0" xfId="0" applyFont="1" applyFill="1"/>
    <xf numFmtId="0" fontId="8" fillId="9" borderId="0" xfId="0" applyFont="1" applyFill="1"/>
    <xf numFmtId="0" fontId="2" fillId="4" borderId="17" xfId="0" applyFont="1" applyFill="1" applyBorder="1"/>
    <xf numFmtId="0" fontId="2" fillId="4" borderId="18" xfId="0" applyFont="1" applyFill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2" fillId="8" borderId="18" xfId="0" applyFont="1" applyFill="1" applyBorder="1" applyAlignment="1">
      <alignment horizontal="center"/>
    </xf>
    <xf numFmtId="0" fontId="2" fillId="4" borderId="20" xfId="0" applyFont="1" applyFill="1" applyBorder="1"/>
    <xf numFmtId="0" fontId="2" fillId="0" borderId="21" xfId="0" applyFont="1" applyBorder="1"/>
    <xf numFmtId="0" fontId="2" fillId="0" borderId="22" xfId="0" applyFont="1" applyBorder="1"/>
    <xf numFmtId="0" fontId="8" fillId="0" borderId="23" xfId="0" applyFont="1" applyBorder="1" applyAlignment="1">
      <alignment horizontal="center"/>
    </xf>
    <xf numFmtId="0" fontId="2" fillId="8" borderId="23" xfId="0" applyFont="1" applyFill="1" applyBorder="1" applyAlignment="1">
      <alignment horizontal="center"/>
    </xf>
    <xf numFmtId="0" fontId="2" fillId="4" borderId="23" xfId="0" applyFont="1" applyFill="1" applyBorder="1"/>
    <xf numFmtId="0" fontId="2" fillId="8" borderId="23" xfId="0" applyFont="1" applyFill="1" applyBorder="1"/>
    <xf numFmtId="0" fontId="2" fillId="4" borderId="24" xfId="0" applyFont="1" applyFill="1" applyBorder="1"/>
    <xf numFmtId="0" fontId="2" fillId="4" borderId="25" xfId="0" applyFont="1" applyFill="1" applyBorder="1"/>
    <xf numFmtId="0" fontId="9" fillId="0" borderId="0" xfId="0" applyFont="1" applyAlignment="1">
      <alignment horizontal="center"/>
    </xf>
    <xf numFmtId="0" fontId="10" fillId="0" borderId="26" xfId="0" applyFont="1" applyBorder="1" applyAlignment="1">
      <alignment horizontal="center"/>
    </xf>
    <xf numFmtId="0" fontId="2" fillId="0" borderId="25" xfId="0" applyFont="1" applyBorder="1" applyAlignment="1">
      <alignment horizontal="left"/>
    </xf>
    <xf numFmtId="0" fontId="8" fillId="0" borderId="27" xfId="0" applyFont="1" applyBorder="1" applyAlignment="1">
      <alignment horizontal="center"/>
    </xf>
    <xf numFmtId="0" fontId="2" fillId="8" borderId="27" xfId="0" applyFont="1" applyFill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4" borderId="27" xfId="0" applyFont="1" applyFill="1" applyBorder="1" applyAlignment="1">
      <alignment horizontal="center"/>
    </xf>
    <xf numFmtId="0" fontId="2" fillId="4" borderId="28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3" xfId="0" applyFont="1" applyBorder="1"/>
    <xf numFmtId="0" fontId="2" fillId="4" borderId="29" xfId="0" applyFont="1" applyFill="1" applyBorder="1"/>
    <xf numFmtId="0" fontId="4" fillId="0" borderId="30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1" fillId="5" borderId="36" xfId="0" applyFont="1" applyFill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7" fillId="6" borderId="33" xfId="0" applyFont="1" applyFill="1" applyBorder="1" applyAlignment="1">
      <alignment horizontal="center" vertical="center"/>
    </xf>
    <xf numFmtId="0" fontId="7" fillId="6" borderId="39" xfId="0" applyFont="1" applyFill="1" applyBorder="1" applyAlignment="1">
      <alignment horizontal="center" vertical="center"/>
    </xf>
    <xf numFmtId="0" fontId="2" fillId="0" borderId="40" xfId="0" applyFont="1" applyBorder="1"/>
    <xf numFmtId="0" fontId="2" fillId="0" borderId="41" xfId="0" applyFont="1" applyBorder="1"/>
    <xf numFmtId="0" fontId="8" fillId="4" borderId="41" xfId="0" applyFont="1" applyFill="1" applyBorder="1" applyAlignment="1">
      <alignment horizontal="center"/>
    </xf>
    <xf numFmtId="0" fontId="2" fillId="7" borderId="41" xfId="0" applyFont="1" applyFill="1" applyBorder="1" applyAlignment="1">
      <alignment horizontal="center"/>
    </xf>
    <xf numFmtId="0" fontId="2" fillId="8" borderId="41" xfId="0" applyFont="1" applyFill="1" applyBorder="1"/>
    <xf numFmtId="0" fontId="2" fillId="4" borderId="41" xfId="0" applyFont="1" applyFill="1" applyBorder="1"/>
    <xf numFmtId="0" fontId="2" fillId="4" borderId="8" xfId="0" applyFont="1" applyFill="1" applyBorder="1"/>
    <xf numFmtId="0" fontId="2" fillId="10" borderId="0" xfId="0" applyFont="1" applyFill="1"/>
    <xf numFmtId="0" fontId="11" fillId="0" borderId="0" xfId="0" applyFont="1"/>
    <xf numFmtId="0" fontId="12" fillId="0" borderId="41" xfId="0" applyFont="1" applyBorder="1"/>
    <xf numFmtId="0" fontId="8" fillId="0" borderId="41" xfId="0" applyFont="1" applyBorder="1" applyAlignment="1">
      <alignment horizontal="center"/>
    </xf>
    <xf numFmtId="0" fontId="2" fillId="8" borderId="41" xfId="0" applyFont="1" applyFill="1" applyBorder="1" applyAlignment="1">
      <alignment horizontal="center"/>
    </xf>
    <xf numFmtId="0" fontId="2" fillId="0" borderId="42" xfId="0" applyFont="1" applyBorder="1"/>
    <xf numFmtId="0" fontId="2" fillId="0" borderId="33" xfId="0" applyFont="1" applyBorder="1"/>
    <xf numFmtId="0" fontId="8" fillId="0" borderId="33" xfId="0" applyFont="1" applyBorder="1" applyAlignment="1">
      <alignment horizontal="center"/>
    </xf>
    <xf numFmtId="0" fontId="2" fillId="8" borderId="33" xfId="0" applyFont="1" applyFill="1" applyBorder="1" applyAlignment="1">
      <alignment horizontal="center"/>
    </xf>
    <xf numFmtId="0" fontId="2" fillId="8" borderId="33" xfId="0" applyFont="1" applyFill="1" applyBorder="1"/>
    <xf numFmtId="0" fontId="2" fillId="4" borderId="33" xfId="0" applyFont="1" applyFill="1" applyBorder="1"/>
    <xf numFmtId="0" fontId="2" fillId="4" borderId="39" xfId="0" applyFont="1" applyFill="1" applyBorder="1"/>
    <xf numFmtId="0" fontId="13" fillId="10" borderId="43" xfId="0" applyFont="1" applyFill="1" applyBorder="1" applyAlignment="1">
      <alignment horizontal="center"/>
    </xf>
    <xf numFmtId="0" fontId="13" fillId="10" borderId="44" xfId="0" applyFont="1" applyFill="1" applyBorder="1" applyAlignment="1">
      <alignment horizontal="center"/>
    </xf>
    <xf numFmtId="0" fontId="13" fillId="10" borderId="45" xfId="0" applyFont="1" applyFill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3" fillId="11" borderId="18" xfId="0" applyFont="1" applyFill="1" applyBorder="1" applyAlignment="1">
      <alignment horizontal="center"/>
    </xf>
    <xf numFmtId="0" fontId="13" fillId="12" borderId="18" xfId="0" applyFont="1" applyFill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13" fillId="0" borderId="19" xfId="0" applyFont="1" applyBorder="1" applyAlignment="1">
      <alignment horizontal="center"/>
    </xf>
    <xf numFmtId="0" fontId="14" fillId="0" borderId="17" xfId="0" applyFont="1" applyBorder="1" applyAlignment="1">
      <alignment horizontal="center"/>
    </xf>
    <xf numFmtId="0" fontId="14" fillId="0" borderId="18" xfId="0" applyFont="1" applyBorder="1" applyAlignment="1">
      <alignment horizontal="center"/>
    </xf>
    <xf numFmtId="0" fontId="15" fillId="11" borderId="18" xfId="0" applyFont="1" applyFill="1" applyBorder="1" applyAlignment="1">
      <alignment horizontal="center"/>
    </xf>
    <xf numFmtId="0" fontId="15" fillId="12" borderId="18" xfId="0" applyFont="1" applyFill="1" applyBorder="1" applyAlignment="1">
      <alignment horizontal="center"/>
    </xf>
    <xf numFmtId="0" fontId="15" fillId="0" borderId="18" xfId="0" applyFont="1" applyBorder="1"/>
    <xf numFmtId="0" fontId="9" fillId="0" borderId="18" xfId="0" applyFont="1" applyBorder="1"/>
    <xf numFmtId="0" fontId="9" fillId="0" borderId="19" xfId="0" applyFont="1" applyBorder="1"/>
    <xf numFmtId="0" fontId="16" fillId="0" borderId="18" xfId="0" applyFont="1" applyBorder="1"/>
    <xf numFmtId="0" fontId="14" fillId="11" borderId="18" xfId="0" applyFont="1" applyFill="1" applyBorder="1" applyAlignment="1">
      <alignment horizontal="center"/>
    </xf>
    <xf numFmtId="0" fontId="14" fillId="12" borderId="18" xfId="0" applyFont="1" applyFill="1" applyBorder="1" applyAlignment="1">
      <alignment horizontal="center"/>
    </xf>
    <xf numFmtId="0" fontId="14" fillId="0" borderId="18" xfId="0" applyFont="1" applyBorder="1"/>
    <xf numFmtId="0" fontId="17" fillId="0" borderId="18" xfId="0" applyFont="1" applyBorder="1"/>
    <xf numFmtId="0" fontId="14" fillId="0" borderId="46" xfId="0" applyFont="1" applyBorder="1" applyAlignment="1">
      <alignment horizontal="center"/>
    </xf>
    <xf numFmtId="0" fontId="14" fillId="0" borderId="47" xfId="0" applyFont="1" applyBorder="1" applyAlignment="1">
      <alignment horizontal="center"/>
    </xf>
    <xf numFmtId="0" fontId="14" fillId="11" borderId="47" xfId="0" applyFont="1" applyFill="1" applyBorder="1" applyAlignment="1">
      <alignment horizontal="center"/>
    </xf>
    <xf numFmtId="0" fontId="14" fillId="12" borderId="47" xfId="0" applyFont="1" applyFill="1" applyBorder="1" applyAlignment="1">
      <alignment horizontal="center"/>
    </xf>
    <xf numFmtId="0" fontId="14" fillId="0" borderId="47" xfId="0" applyFont="1" applyBorder="1"/>
    <xf numFmtId="0" fontId="9" fillId="0" borderId="47" xfId="0" applyFont="1" applyBorder="1"/>
    <xf numFmtId="0" fontId="9" fillId="0" borderId="48" xfId="0" applyFont="1" applyBorder="1"/>
    <xf numFmtId="0" fontId="4" fillId="0" borderId="49" xfId="0" applyFont="1" applyBorder="1" applyAlignment="1">
      <alignment horizontal="center"/>
    </xf>
    <xf numFmtId="0" fontId="4" fillId="0" borderId="50" xfId="0" applyFont="1" applyBorder="1" applyAlignment="1">
      <alignment horizontal="center"/>
    </xf>
    <xf numFmtId="0" fontId="4" fillId="0" borderId="51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11" borderId="18" xfId="0" applyFont="1" applyFill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7" fillId="6" borderId="18" xfId="0" applyFont="1" applyFill="1" applyBorder="1" applyAlignment="1">
      <alignment horizontal="center"/>
    </xf>
    <xf numFmtId="0" fontId="7" fillId="6" borderId="19" xfId="0" applyFont="1" applyFill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11" borderId="18" xfId="0" applyFont="1" applyFill="1" applyBorder="1" applyAlignment="1">
      <alignment horizontal="center"/>
    </xf>
    <xf numFmtId="0" fontId="2" fillId="13" borderId="18" xfId="0" applyFont="1" applyFill="1" applyBorder="1"/>
    <xf numFmtId="0" fontId="7" fillId="0" borderId="18" xfId="0" applyFont="1" applyBorder="1"/>
    <xf numFmtId="0" fontId="8" fillId="0" borderId="18" xfId="0" applyFont="1" applyBorder="1"/>
    <xf numFmtId="0" fontId="2" fillId="14" borderId="18" xfId="0" applyFont="1" applyFill="1" applyBorder="1"/>
    <xf numFmtId="0" fontId="10" fillId="0" borderId="18" xfId="0" applyFont="1" applyBorder="1"/>
    <xf numFmtId="0" fontId="2" fillId="11" borderId="47" xfId="0" applyFont="1" applyFill="1" applyBorder="1" applyAlignment="1">
      <alignment horizontal="center"/>
    </xf>
    <xf numFmtId="0" fontId="2" fillId="0" borderId="47" xfId="0" applyFont="1" applyBorder="1"/>
    <xf numFmtId="0" fontId="2" fillId="8" borderId="47" xfId="0" applyFont="1" applyFill="1" applyBorder="1"/>
    <xf numFmtId="0" fontId="2" fillId="4" borderId="47" xfId="0" applyFont="1" applyFill="1" applyBorder="1"/>
    <xf numFmtId="0" fontId="2" fillId="14" borderId="47" xfId="0" applyFont="1" applyFill="1" applyBorder="1"/>
    <xf numFmtId="0" fontId="2" fillId="13" borderId="47" xfId="0" applyFont="1" applyFill="1" applyBorder="1"/>
    <xf numFmtId="0" fontId="2" fillId="4" borderId="48" xfId="0" applyFont="1" applyFill="1" applyBorder="1"/>
    <xf numFmtId="0" fontId="18" fillId="0" borderId="52" xfId="0" applyFont="1" applyBorder="1" applyAlignment="1">
      <alignment horizontal="center"/>
    </xf>
    <xf numFmtId="0" fontId="18" fillId="0" borderId="53" xfId="0" applyFont="1" applyBorder="1" applyAlignment="1">
      <alignment horizontal="center"/>
    </xf>
    <xf numFmtId="0" fontId="18" fillId="0" borderId="54" xfId="0" applyFont="1" applyBorder="1" applyAlignment="1">
      <alignment horizontal="center"/>
    </xf>
    <xf numFmtId="0" fontId="18" fillId="0" borderId="55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18" fillId="0" borderId="57" xfId="0" applyFont="1" applyBorder="1" applyAlignment="1">
      <alignment horizontal="left"/>
    </xf>
    <xf numFmtId="0" fontId="18" fillId="0" borderId="58" xfId="0" applyFont="1" applyBorder="1"/>
    <xf numFmtId="0" fontId="18" fillId="0" borderId="59" xfId="0" applyFont="1" applyBorder="1" applyAlignment="1">
      <alignment horizontal="center"/>
    </xf>
    <xf numFmtId="0" fontId="18" fillId="0" borderId="60" xfId="0" applyFont="1" applyBorder="1" applyAlignment="1">
      <alignment horizontal="center"/>
    </xf>
    <xf numFmtId="0" fontId="18" fillId="0" borderId="61" xfId="0" applyFont="1" applyBorder="1" applyAlignment="1">
      <alignment horizontal="center"/>
    </xf>
    <xf numFmtId="0" fontId="18" fillId="0" borderId="62" xfId="0" applyFont="1" applyBorder="1" applyAlignment="1">
      <alignment horizontal="center"/>
    </xf>
    <xf numFmtId="0" fontId="18" fillId="0" borderId="63" xfId="0" applyFont="1" applyBorder="1" applyAlignment="1">
      <alignment horizontal="center"/>
    </xf>
    <xf numFmtId="164" fontId="18" fillId="0" borderId="63" xfId="0" applyNumberFormat="1" applyFont="1" applyBorder="1" applyAlignment="1">
      <alignment horizontal="center"/>
    </xf>
    <xf numFmtId="0" fontId="9" fillId="0" borderId="64" xfId="0" applyFont="1" applyBorder="1" applyAlignment="1">
      <alignment horizontal="center"/>
    </xf>
    <xf numFmtId="0" fontId="9" fillId="0" borderId="65" xfId="0" applyFont="1" applyBorder="1" applyAlignment="1">
      <alignment horizontal="center"/>
    </xf>
    <xf numFmtId="0" fontId="9" fillId="0" borderId="66" xfId="0" applyFont="1" applyBorder="1" applyAlignment="1">
      <alignment horizontal="center"/>
    </xf>
    <xf numFmtId="0" fontId="9" fillId="0" borderId="67" xfId="0" applyFont="1" applyBorder="1" applyAlignment="1">
      <alignment horizontal="center"/>
    </xf>
    <xf numFmtId="0" fontId="9" fillId="0" borderId="68" xfId="0" applyFont="1" applyBorder="1" applyAlignment="1">
      <alignment horizontal="center"/>
    </xf>
    <xf numFmtId="0" fontId="19" fillId="0" borderId="69" xfId="0" applyFont="1" applyBorder="1" applyAlignment="1">
      <alignment horizontal="center"/>
    </xf>
    <xf numFmtId="0" fontId="19" fillId="0" borderId="68" xfId="0" applyFont="1" applyBorder="1" applyAlignment="1">
      <alignment horizontal="center"/>
    </xf>
    <xf numFmtId="0" fontId="9" fillId="0" borderId="25" xfId="0" applyFont="1" applyBorder="1"/>
    <xf numFmtId="164" fontId="9" fillId="0" borderId="25" xfId="0" applyNumberFormat="1" applyFont="1" applyBorder="1"/>
    <xf numFmtId="0" fontId="9" fillId="0" borderId="70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69" xfId="0" applyFont="1" applyBorder="1" applyAlignment="1">
      <alignment horizontal="center"/>
    </xf>
    <xf numFmtId="2" fontId="9" fillId="0" borderId="25" xfId="0" applyNumberFormat="1" applyFont="1" applyBorder="1"/>
    <xf numFmtId="9" fontId="9" fillId="0" borderId="25" xfId="0" applyNumberFormat="1" applyFont="1" applyBorder="1"/>
    <xf numFmtId="0" fontId="8" fillId="0" borderId="69" xfId="0" applyFont="1" applyBorder="1" applyAlignment="1">
      <alignment horizontal="center"/>
    </xf>
    <xf numFmtId="0" fontId="8" fillId="0" borderId="68" xfId="0" applyFont="1" applyBorder="1" applyAlignment="1">
      <alignment horizontal="center"/>
    </xf>
    <xf numFmtId="164" fontId="18" fillId="0" borderId="25" xfId="0" applyNumberFormat="1" applyFont="1" applyBorder="1"/>
    <xf numFmtId="0" fontId="20" fillId="0" borderId="69" xfId="0" applyFont="1" applyBorder="1" applyAlignment="1">
      <alignment horizontal="center"/>
    </xf>
    <xf numFmtId="0" fontId="20" fillId="0" borderId="68" xfId="0" applyFont="1" applyBorder="1" applyAlignment="1">
      <alignment horizontal="center"/>
    </xf>
    <xf numFmtId="165" fontId="9" fillId="0" borderId="25" xfId="0" applyNumberFormat="1" applyFont="1" applyBorder="1"/>
    <xf numFmtId="164" fontId="18" fillId="0" borderId="25" xfId="0" applyNumberFormat="1" applyFont="1" applyBorder="1" applyAlignment="1">
      <alignment horizontal="center"/>
    </xf>
    <xf numFmtId="0" fontId="9" fillId="0" borderId="71" xfId="0" applyFont="1" applyBorder="1" applyAlignment="1">
      <alignment horizontal="center"/>
    </xf>
    <xf numFmtId="0" fontId="9" fillId="0" borderId="72" xfId="0" applyFont="1" applyBorder="1" applyAlignment="1">
      <alignment horizontal="center"/>
    </xf>
    <xf numFmtId="0" fontId="9" fillId="0" borderId="73" xfId="0" applyFont="1" applyBorder="1" applyAlignment="1">
      <alignment horizontal="center"/>
    </xf>
    <xf numFmtId="0" fontId="9" fillId="0" borderId="74" xfId="0" applyFont="1" applyBorder="1" applyAlignment="1">
      <alignment horizontal="center"/>
    </xf>
    <xf numFmtId="0" fontId="9" fillId="0" borderId="75" xfId="0" applyFont="1" applyBorder="1" applyAlignment="1">
      <alignment horizontal="center"/>
    </xf>
    <xf numFmtId="0" fontId="18" fillId="0" borderId="55" xfId="0" applyFont="1" applyBorder="1" applyAlignment="1">
      <alignment horizontal="center"/>
    </xf>
    <xf numFmtId="0" fontId="18" fillId="0" borderId="56" xfId="0" applyFont="1" applyBorder="1" applyAlignment="1">
      <alignment horizontal="center"/>
    </xf>
    <xf numFmtId="0" fontId="18" fillId="0" borderId="76" xfId="0" applyFont="1" applyBorder="1" applyAlignment="1">
      <alignment horizontal="center"/>
    </xf>
    <xf numFmtId="0" fontId="21" fillId="0" borderId="55" xfId="0" applyFont="1" applyBorder="1" applyAlignment="1">
      <alignment horizontal="left"/>
    </xf>
    <xf numFmtId="0" fontId="22" fillId="0" borderId="56" xfId="0" applyFont="1" applyBorder="1"/>
    <xf numFmtId="0" fontId="22" fillId="0" borderId="57" xfId="0" applyFont="1" applyBorder="1"/>
    <xf numFmtId="0" fontId="9" fillId="15" borderId="0" xfId="0" applyFont="1" applyFill="1"/>
    <xf numFmtId="0" fontId="18" fillId="0" borderId="77" xfId="0" applyFont="1" applyBorder="1" applyAlignment="1">
      <alignment horizontal="center"/>
    </xf>
    <xf numFmtId="0" fontId="22" fillId="0" borderId="60" xfId="0" applyFont="1" applyBorder="1"/>
    <xf numFmtId="0" fontId="9" fillId="0" borderId="0" xfId="0" applyFont="1"/>
    <xf numFmtId="0" fontId="22" fillId="0" borderId="14" xfId="0" applyFont="1" applyBorder="1"/>
    <xf numFmtId="0" fontId="22" fillId="0" borderId="68" xfId="0" applyFont="1" applyBorder="1"/>
    <xf numFmtId="0" fontId="9" fillId="0" borderId="63" xfId="0" applyFont="1" applyBorder="1"/>
    <xf numFmtId="0" fontId="22" fillId="0" borderId="70" xfId="0" applyFont="1" applyBorder="1"/>
    <xf numFmtId="0" fontId="23" fillId="0" borderId="69" xfId="0" applyFont="1" applyBorder="1" applyAlignment="1">
      <alignment horizontal="center"/>
    </xf>
    <xf numFmtId="0" fontId="24" fillId="0" borderId="68" xfId="0" applyFont="1" applyBorder="1"/>
    <xf numFmtId="0" fontId="22" fillId="0" borderId="77" xfId="0" applyFont="1" applyBorder="1"/>
    <xf numFmtId="0" fontId="22" fillId="0" borderId="78" xfId="0" applyFont="1" applyBorder="1"/>
    <xf numFmtId="0" fontId="22" fillId="0" borderId="79" xfId="0" applyFont="1" applyBorder="1"/>
    <xf numFmtId="0" fontId="22" fillId="0" borderId="76" xfId="0" applyFont="1" applyBorder="1"/>
    <xf numFmtId="0" fontId="3" fillId="0" borderId="55" xfId="0" applyFont="1" applyBorder="1" applyAlignment="1">
      <alignment horizontal="left"/>
    </xf>
    <xf numFmtId="0" fontId="22" fillId="0" borderId="65" xfId="0" applyFont="1" applyBorder="1"/>
    <xf numFmtId="0" fontId="22" fillId="0" borderId="80" xfId="0" applyFont="1" applyBorder="1"/>
    <xf numFmtId="0" fontId="18" fillId="0" borderId="81" xfId="0" applyFont="1" applyBorder="1"/>
    <xf numFmtId="164" fontId="18" fillId="0" borderId="77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82" xfId="0" applyFont="1" applyBorder="1" applyAlignment="1">
      <alignment horizontal="center"/>
    </xf>
    <xf numFmtId="164" fontId="9" fillId="0" borderId="69" xfId="0" applyNumberFormat="1" applyFont="1" applyBorder="1"/>
    <xf numFmtId="0" fontId="9" fillId="0" borderId="30" xfId="0" applyFont="1" applyBorder="1" applyAlignment="1">
      <alignment horizontal="center"/>
    </xf>
    <xf numFmtId="9" fontId="9" fillId="16" borderId="69" xfId="0" applyNumberFormat="1" applyFont="1" applyFill="1" applyBorder="1"/>
    <xf numFmtId="0" fontId="23" fillId="0" borderId="68" xfId="0" applyFont="1" applyBorder="1" applyAlignment="1">
      <alignment horizontal="center"/>
    </xf>
    <xf numFmtId="0" fontId="19" fillId="9" borderId="69" xfId="0" applyFont="1" applyFill="1" applyBorder="1" applyAlignment="1">
      <alignment horizontal="center"/>
    </xf>
    <xf numFmtId="0" fontId="25" fillId="10" borderId="0" xfId="0" applyFont="1" applyFill="1"/>
    <xf numFmtId="0" fontId="9" fillId="10" borderId="67" xfId="0" applyFont="1" applyFill="1" applyBorder="1" applyAlignment="1">
      <alignment horizontal="center"/>
    </xf>
    <xf numFmtId="0" fontId="9" fillId="10" borderId="68" xfId="0" applyFont="1" applyFill="1" applyBorder="1" applyAlignment="1">
      <alignment horizontal="center"/>
    </xf>
    <xf numFmtId="0" fontId="23" fillId="10" borderId="69" xfId="0" applyFont="1" applyFill="1" applyBorder="1" applyAlignment="1">
      <alignment horizontal="center"/>
    </xf>
    <xf numFmtId="0" fontId="24" fillId="10" borderId="68" xfId="0" applyFont="1" applyFill="1" applyBorder="1"/>
    <xf numFmtId="0" fontId="9" fillId="10" borderId="25" xfId="0" applyFont="1" applyFill="1" applyBorder="1"/>
    <xf numFmtId="164" fontId="9" fillId="10" borderId="25" xfId="0" applyNumberFormat="1" applyFont="1" applyFill="1" applyBorder="1"/>
    <xf numFmtId="164" fontId="9" fillId="0" borderId="0" xfId="0" applyNumberFormat="1" applyFont="1"/>
    <xf numFmtId="164" fontId="9" fillId="10" borderId="0" xfId="0" applyNumberFormat="1" applyFont="1" applyFill="1"/>
    <xf numFmtId="0" fontId="23" fillId="10" borderId="68" xfId="0" applyFont="1" applyFill="1" applyBorder="1" applyAlignment="1">
      <alignment horizontal="center"/>
    </xf>
    <xf numFmtId="164" fontId="18" fillId="0" borderId="69" xfId="0" applyNumberFormat="1" applyFont="1" applyBorder="1" applyAlignment="1">
      <alignment horizontal="center"/>
    </xf>
    <xf numFmtId="0" fontId="9" fillId="10" borderId="83" xfId="0" applyFont="1" applyFill="1" applyBorder="1" applyAlignment="1">
      <alignment horizontal="center"/>
    </xf>
    <xf numFmtId="0" fontId="23" fillId="10" borderId="84" xfId="0" applyFont="1" applyFill="1" applyBorder="1" applyAlignment="1">
      <alignment horizontal="center"/>
    </xf>
    <xf numFmtId="0" fontId="24" fillId="10" borderId="83" xfId="0" applyFont="1" applyFill="1" applyBorder="1"/>
    <xf numFmtId="0" fontId="9" fillId="10" borderId="27" xfId="0" applyFont="1" applyFill="1" applyBorder="1"/>
    <xf numFmtId="164" fontId="9" fillId="10" borderId="27" xfId="0" applyNumberFormat="1" applyFont="1" applyFill="1" applyBorder="1"/>
    <xf numFmtId="164" fontId="9" fillId="0" borderId="84" xfId="0" applyNumberFormat="1" applyFont="1" applyBorder="1"/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39" xfId="0" applyFont="1" applyBorder="1" applyAlignment="1">
      <alignment horizontal="center"/>
    </xf>
    <xf numFmtId="0" fontId="22" fillId="0" borderId="74" xfId="0" applyFont="1" applyBorder="1"/>
    <xf numFmtId="0" fontId="22" fillId="0" borderId="85" xfId="0" applyFont="1" applyBorder="1"/>
    <xf numFmtId="0" fontId="18" fillId="0" borderId="86" xfId="0" applyFont="1" applyBorder="1"/>
    <xf numFmtId="9" fontId="9" fillId="16" borderId="25" xfId="0" applyNumberFormat="1" applyFont="1" applyFill="1" applyBorder="1"/>
    <xf numFmtId="0" fontId="26" fillId="9" borderId="69" xfId="0" applyFont="1" applyFill="1" applyBorder="1" applyAlignment="1">
      <alignment horizontal="center"/>
    </xf>
    <xf numFmtId="0" fontId="3" fillId="9" borderId="55" xfId="0" applyFont="1" applyFill="1" applyBorder="1" applyAlignment="1">
      <alignment horizontal="left"/>
    </xf>
    <xf numFmtId="0" fontId="3" fillId="9" borderId="56" xfId="0" applyFont="1" applyFill="1" applyBorder="1" applyAlignment="1">
      <alignment horizontal="left"/>
    </xf>
    <xf numFmtId="0" fontId="3" fillId="9" borderId="57" xfId="0" applyFont="1" applyFill="1" applyBorder="1" applyAlignment="1">
      <alignment horizontal="left"/>
    </xf>
    <xf numFmtId="0" fontId="27" fillId="0" borderId="69" xfId="0" applyFont="1" applyBorder="1" applyAlignment="1">
      <alignment horizontal="center"/>
    </xf>
    <xf numFmtId="0" fontId="28" fillId="0" borderId="68" xfId="0" applyFont="1" applyBorder="1"/>
    <xf numFmtId="0" fontId="9" fillId="0" borderId="87" xfId="0" applyFont="1" applyBorder="1" applyAlignment="1">
      <alignment horizontal="center"/>
    </xf>
    <xf numFmtId="0" fontId="9" fillId="0" borderId="83" xfId="0" applyFont="1" applyBorder="1" applyAlignment="1">
      <alignment horizontal="center"/>
    </xf>
    <xf numFmtId="0" fontId="9" fillId="0" borderId="84" xfId="0" applyFont="1" applyBorder="1" applyAlignment="1">
      <alignment horizontal="center"/>
    </xf>
    <xf numFmtId="0" fontId="22" fillId="0" borderId="83" xfId="0" applyFont="1" applyBorder="1"/>
    <xf numFmtId="0" fontId="9" fillId="0" borderId="27" xfId="0" applyFont="1" applyBorder="1"/>
    <xf numFmtId="164" fontId="9" fillId="0" borderId="27" xfId="0" applyNumberFormat="1" applyFont="1" applyBorder="1"/>
    <xf numFmtId="0" fontId="22" fillId="0" borderId="0" xfId="0" applyFont="1"/>
    <xf numFmtId="0" fontId="3" fillId="9" borderId="88" xfId="0" applyFont="1" applyFill="1" applyBorder="1" applyAlignment="1">
      <alignment horizontal="left"/>
    </xf>
    <xf numFmtId="0" fontId="22" fillId="0" borderId="11" xfId="0" applyFont="1" applyBorder="1"/>
    <xf numFmtId="0" fontId="22" fillId="0" borderId="89" xfId="0" applyFont="1" applyBorder="1"/>
    <xf numFmtId="0" fontId="18" fillId="0" borderId="66" xfId="0" applyFont="1" applyBorder="1"/>
    <xf numFmtId="0" fontId="22" fillId="0" borderId="90" xfId="0" applyFont="1" applyBorder="1"/>
    <xf numFmtId="0" fontId="9" fillId="0" borderId="25" xfId="0" applyFont="1" applyBorder="1" applyAlignment="1">
      <alignment horizontal="center"/>
    </xf>
    <xf numFmtId="0" fontId="23" fillId="0" borderId="25" xfId="0" applyFont="1" applyBorder="1"/>
    <xf numFmtId="0" fontId="9" fillId="0" borderId="91" xfId="0" applyFont="1" applyBorder="1" applyAlignment="1">
      <alignment horizontal="center"/>
    </xf>
    <xf numFmtId="0" fontId="9" fillId="0" borderId="92" xfId="0" applyFont="1" applyBorder="1" applyAlignment="1">
      <alignment horizontal="center"/>
    </xf>
    <xf numFmtId="0" fontId="9" fillId="0" borderId="93" xfId="0" applyFont="1" applyBorder="1" applyAlignment="1">
      <alignment horizontal="center"/>
    </xf>
    <xf numFmtId="0" fontId="22" fillId="0" borderId="94" xfId="0" applyFont="1" applyBorder="1"/>
    <xf numFmtId="0" fontId="9" fillId="0" borderId="92" xfId="0" applyFont="1" applyBorder="1"/>
    <xf numFmtId="164" fontId="9" fillId="0" borderId="92" xfId="0" applyNumberFormat="1" applyFont="1" applyBorder="1"/>
    <xf numFmtId="0" fontId="22" fillId="0" borderId="95" xfId="0" applyFont="1" applyBorder="1"/>
    <xf numFmtId="0" fontId="22" fillId="0" borderId="5" xfId="0" applyFont="1" applyBorder="1"/>
    <xf numFmtId="0" fontId="22" fillId="0" borderId="39" xfId="0" applyFont="1" applyBorder="1"/>
    <xf numFmtId="0" fontId="17" fillId="0" borderId="0" xfId="0" applyFont="1"/>
    <xf numFmtId="0" fontId="22" fillId="0" borderId="53" xfId="0" applyFont="1" applyBorder="1"/>
    <xf numFmtId="0" fontId="22" fillId="0" borderId="54" xfId="0" applyFont="1" applyBorder="1"/>
    <xf numFmtId="0" fontId="3" fillId="0" borderId="55" xfId="0" applyFont="1" applyBorder="1" applyAlignment="1">
      <alignment horizontal="left" wrapText="1"/>
    </xf>
    <xf numFmtId="0" fontId="3" fillId="0" borderId="63" xfId="0" applyFont="1" applyBorder="1" applyAlignment="1">
      <alignment horizontal="center"/>
    </xf>
    <xf numFmtId="0" fontId="9" fillId="0" borderId="68" xfId="0" applyFont="1" applyBorder="1"/>
    <xf numFmtId="0" fontId="26" fillId="0" borderId="69" xfId="0" applyFont="1" applyBorder="1" applyAlignment="1">
      <alignment horizontal="center"/>
    </xf>
    <xf numFmtId="0" fontId="1" fillId="0" borderId="96" xfId="0" applyFont="1" applyBorder="1" applyAlignment="1">
      <alignment horizontal="left"/>
    </xf>
    <xf numFmtId="0" fontId="29" fillId="0" borderId="56" xfId="0" applyFont="1" applyBorder="1"/>
    <xf numFmtId="0" fontId="29" fillId="0" borderId="57" xfId="0" applyFont="1" applyBorder="1"/>
    <xf numFmtId="0" fontId="3" fillId="0" borderId="97" xfId="0" applyFont="1" applyBorder="1"/>
    <xf numFmtId="0" fontId="3" fillId="0" borderId="98" xfId="0" applyFont="1" applyBorder="1" applyAlignment="1">
      <alignment horizontal="center"/>
    </xf>
    <xf numFmtId="0" fontId="30" fillId="0" borderId="60" xfId="0" applyFont="1" applyBorder="1" applyAlignment="1">
      <alignment horizontal="center"/>
    </xf>
    <xf numFmtId="0" fontId="3" fillId="0" borderId="77" xfId="0" applyFont="1" applyBorder="1" applyAlignment="1">
      <alignment horizontal="center"/>
    </xf>
    <xf numFmtId="164" fontId="3" fillId="0" borderId="63" xfId="0" applyNumberFormat="1" applyFont="1" applyBorder="1" applyAlignment="1">
      <alignment horizontal="center"/>
    </xf>
    <xf numFmtId="0" fontId="2" fillId="0" borderId="70" xfId="0" applyFont="1" applyBorder="1" applyAlignment="1">
      <alignment horizontal="center"/>
    </xf>
    <xf numFmtId="0" fontId="22" fillId="0" borderId="16" xfId="0" applyFont="1" applyBorder="1"/>
    <xf numFmtId="0" fontId="25" fillId="0" borderId="0" xfId="0" applyFont="1"/>
    <xf numFmtId="0" fontId="2" fillId="0" borderId="99" xfId="0" applyFont="1" applyBorder="1" applyAlignment="1">
      <alignment horizontal="center"/>
    </xf>
    <xf numFmtId="0" fontId="8" fillId="0" borderId="68" xfId="0" applyFont="1" applyBorder="1"/>
    <xf numFmtId="0" fontId="27" fillId="0" borderId="68" xfId="0" applyFont="1" applyBorder="1" applyAlignment="1">
      <alignment horizontal="center"/>
    </xf>
    <xf numFmtId="0" fontId="2" fillId="0" borderId="25" xfId="0" applyFont="1" applyBorder="1"/>
    <xf numFmtId="164" fontId="2" fillId="0" borderId="25" xfId="0" applyNumberFormat="1" applyFont="1" applyBorder="1"/>
    <xf numFmtId="0" fontId="2" fillId="9" borderId="69" xfId="0" applyFont="1" applyFill="1" applyBorder="1" applyAlignment="1">
      <alignment horizontal="center"/>
    </xf>
    <xf numFmtId="9" fontId="2" fillId="0" borderId="25" xfId="0" applyNumberFormat="1" applyFont="1" applyBorder="1"/>
    <xf numFmtId="0" fontId="8" fillId="0" borderId="83" xfId="0" applyFont="1" applyBorder="1"/>
    <xf numFmtId="0" fontId="2" fillId="0" borderId="84" xfId="0" applyFont="1" applyBorder="1" applyAlignment="1">
      <alignment horizontal="center"/>
    </xf>
    <xf numFmtId="0" fontId="2" fillId="0" borderId="27" xfId="0" applyFont="1" applyBorder="1"/>
    <xf numFmtId="164" fontId="2" fillId="0" borderId="27" xfId="0" applyNumberFormat="1" applyFont="1" applyBorder="1"/>
    <xf numFmtId="0" fontId="2" fillId="0" borderId="100" xfId="0" applyFont="1" applyBorder="1" applyAlignment="1">
      <alignment horizontal="center"/>
    </xf>
    <xf numFmtId="0" fontId="8" fillId="0" borderId="25" xfId="0" applyFont="1" applyBorder="1"/>
    <xf numFmtId="0" fontId="7" fillId="0" borderId="25" xfId="0" applyFont="1" applyBorder="1" applyAlignment="1">
      <alignment horizontal="center"/>
    </xf>
    <xf numFmtId="0" fontId="8" fillId="0" borderId="60" xfId="0" applyFont="1" applyBorder="1"/>
    <xf numFmtId="0" fontId="2" fillId="0" borderId="77" xfId="0" applyFont="1" applyBorder="1" applyAlignment="1">
      <alignment horizontal="center"/>
    </xf>
    <xf numFmtId="0" fontId="2" fillId="0" borderId="63" xfId="0" applyFont="1" applyBorder="1"/>
    <xf numFmtId="164" fontId="2" fillId="0" borderId="63" xfId="0" applyNumberFormat="1" applyFont="1" applyBorder="1"/>
    <xf numFmtId="0" fontId="2" fillId="0" borderId="69" xfId="0" applyFont="1" applyBorder="1" applyAlignment="1">
      <alignment horizontal="center" vertical="top"/>
    </xf>
    <xf numFmtId="0" fontId="2" fillId="0" borderId="69" xfId="0" applyFont="1" applyBorder="1" applyAlignment="1">
      <alignment horizontal="center"/>
    </xf>
    <xf numFmtId="164" fontId="3" fillId="0" borderId="25" xfId="0" applyNumberFormat="1" applyFont="1" applyBorder="1" applyAlignment="1">
      <alignment horizontal="center"/>
    </xf>
    <xf numFmtId="0" fontId="22" fillId="0" borderId="101" xfId="0" applyFont="1" applyBorder="1"/>
    <xf numFmtId="0" fontId="1" fillId="0" borderId="96" xfId="0" applyFont="1" applyBorder="1" applyAlignment="1">
      <alignment horizontal="left" wrapText="1"/>
    </xf>
    <xf numFmtId="0" fontId="29" fillId="0" borderId="56" xfId="0" applyFont="1" applyBorder="1" applyAlignment="1">
      <alignment wrapText="1"/>
    </xf>
    <xf numFmtId="0" fontId="29" fillId="0" borderId="57" xfId="0" applyFont="1" applyBorder="1" applyAlignment="1">
      <alignment wrapText="1"/>
    </xf>
    <xf numFmtId="0" fontId="2" fillId="0" borderId="68" xfId="0" applyFont="1" applyBorder="1" applyAlignment="1">
      <alignment horizontal="center"/>
    </xf>
    <xf numFmtId="0" fontId="1" fillId="9" borderId="96" xfId="0" applyFont="1" applyFill="1" applyBorder="1" applyAlignment="1">
      <alignment horizontal="left" wrapText="1"/>
    </xf>
    <xf numFmtId="0" fontId="29" fillId="0" borderId="56" xfId="0" applyFont="1" applyBorder="1" applyAlignment="1">
      <alignment horizontal="left" wrapText="1"/>
    </xf>
    <xf numFmtId="0" fontId="29" fillId="0" borderId="57" xfId="0" applyFont="1" applyBorder="1" applyAlignment="1">
      <alignment horizontal="left" wrapText="1"/>
    </xf>
    <xf numFmtId="0" fontId="7" fillId="0" borderId="69" xfId="0" applyFont="1" applyBorder="1" applyAlignment="1">
      <alignment horizontal="center"/>
    </xf>
    <xf numFmtId="10" fontId="2" fillId="0" borderId="25" xfId="0" applyNumberFormat="1" applyFont="1" applyBorder="1"/>
    <xf numFmtId="0" fontId="12" fillId="0" borderId="69" xfId="0" applyFont="1" applyBorder="1" applyAlignment="1">
      <alignment horizontal="center"/>
    </xf>
    <xf numFmtId="0" fontId="31" fillId="0" borderId="68" xfId="0" applyFont="1" applyBorder="1"/>
    <xf numFmtId="0" fontId="2" fillId="0" borderId="26" xfId="0" applyFont="1" applyBorder="1" applyAlignment="1">
      <alignment horizontal="center"/>
    </xf>
    <xf numFmtId="0" fontId="7" fillId="0" borderId="84" xfId="0" applyFont="1" applyBorder="1" applyAlignment="1">
      <alignment horizontal="center"/>
    </xf>
    <xf numFmtId="0" fontId="24" fillId="0" borderId="83" xfId="0" applyFont="1" applyBorder="1"/>
    <xf numFmtId="0" fontId="22" fillId="0" borderId="56" xfId="0" applyFont="1" applyBorder="1" applyAlignment="1">
      <alignment horizontal="left"/>
    </xf>
    <xf numFmtId="0" fontId="22" fillId="0" borderId="57" xfId="0" applyFont="1" applyBorder="1" applyAlignment="1">
      <alignment horizontal="left"/>
    </xf>
    <xf numFmtId="0" fontId="21" fillId="0" borderId="60" xfId="0" applyFont="1" applyBorder="1" applyAlignment="1">
      <alignment horizontal="center"/>
    </xf>
    <xf numFmtId="0" fontId="17" fillId="0" borderId="68" xfId="0" applyFont="1" applyBorder="1"/>
    <xf numFmtId="0" fontId="17" fillId="0" borderId="94" xfId="0" applyFont="1" applyBorder="1"/>
    <xf numFmtId="0" fontId="19" fillId="0" borderId="93" xfId="0" applyFont="1" applyBorder="1" applyAlignment="1">
      <alignment horizontal="center"/>
    </xf>
    <xf numFmtId="0" fontId="31" fillId="0" borderId="94" xfId="0" applyFont="1" applyBorder="1"/>
    <xf numFmtId="0" fontId="32" fillId="0" borderId="55" xfId="0" applyFont="1" applyBorder="1" applyAlignment="1">
      <alignment horizontal="left"/>
    </xf>
    <xf numFmtId="0" fontId="28" fillId="0" borderId="56" xfId="0" applyFont="1" applyBorder="1" applyAlignment="1">
      <alignment horizontal="left"/>
    </xf>
    <xf numFmtId="0" fontId="28" fillId="0" borderId="57" xfId="0" applyFont="1" applyBorder="1" applyAlignment="1">
      <alignment horizontal="left"/>
    </xf>
    <xf numFmtId="0" fontId="33" fillId="0" borderId="93" xfId="0" applyFont="1" applyBorder="1" applyAlignment="1">
      <alignment horizontal="center"/>
    </xf>
    <xf numFmtId="0" fontId="28" fillId="0" borderId="94" xfId="0" applyFont="1" applyBorder="1"/>
    <xf numFmtId="0" fontId="30" fillId="0" borderId="55" xfId="0" applyFont="1" applyBorder="1" applyAlignment="1">
      <alignment horizontal="left" wrapText="1"/>
    </xf>
    <xf numFmtId="0" fontId="31" fillId="0" borderId="56" xfId="0" applyFont="1" applyBorder="1" applyAlignment="1">
      <alignment horizontal="left"/>
    </xf>
    <xf numFmtId="0" fontId="31" fillId="0" borderId="57" xfId="0" applyFont="1" applyBorder="1" applyAlignment="1">
      <alignment horizontal="left"/>
    </xf>
    <xf numFmtId="0" fontId="17" fillId="0" borderId="18" xfId="0" applyFont="1" applyBorder="1" applyAlignment="1">
      <alignment horizontal="center"/>
    </xf>
    <xf numFmtId="0" fontId="31" fillId="0" borderId="18" xfId="0" applyFont="1" applyBorder="1"/>
    <xf numFmtId="0" fontId="34" fillId="0" borderId="9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5.xml"/><Relationship Id="rId5" Type="http://schemas.openxmlformats.org/officeDocument/2006/relationships/worksheet" Target="worksheets/sheet18.xml"/><Relationship Id="rId6" Type="http://schemas.openxmlformats.org/officeDocument/2006/relationships/worksheet" Target="worksheets/sheet7.xml"/><Relationship Id="rId7" Type="http://schemas.openxmlformats.org/officeDocument/2006/relationships/worksheet" Target="worksheets/sheet2.xml"/><Relationship Id="rId8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hyperlink" Target="https://shop.sysco.com/app/product-details/opco/163/product/4471223?seller_id=USBL" TargetMode="External"/><Relationship Id="rId2" Type="http://schemas.openxmlformats.org/officeDocument/2006/relationships/hyperlink" Target="https://shop.sysco.com/app/product-details/opco/163/product/4528461?seller_id=USBL" TargetMode="Externa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L59"/>
  <sheetViews>
    <sheetView workbookViewId="0" zoomScale="100" zoomScaleNormal="100">
      <selection activeCell="A54" sqref="A54"/>
    </sheetView>
  </sheetViews>
  <sheetFormatPr defaultRowHeight="15" outlineLevelRow="0" outlineLevelCol="0" x14ac:dyDescent="0.2"/>
  <cols>
    <col min="2" max="2" width="13.44921875" customWidth="1"/>
    <col min="10" max="10" width="22.46484375" customWidth="1"/>
    <col min="11" max="11" width="18.96484375" customWidth="1"/>
    <col min="12" max="12" width="8.875" customWidth="1"/>
  </cols>
  <sheetData>
    <row r="1" ht="15.75" customHeight="1" spans="1:10" x14ac:dyDescent="0.25">
      <c r="A1" s="139" t="s">
        <v>180</v>
      </c>
      <c r="B1" s="140"/>
      <c r="C1" s="140"/>
      <c r="D1" s="140"/>
      <c r="E1" s="140"/>
      <c r="F1" s="140"/>
      <c r="G1" s="140"/>
      <c r="H1" s="140"/>
      <c r="I1" s="140"/>
      <c r="J1" s="141"/>
    </row>
    <row r="2" ht="15.75" customHeight="1" spans="1:10" x14ac:dyDescent="0.25">
      <c r="A2" s="142" t="s">
        <v>181</v>
      </c>
      <c r="B2" s="143"/>
      <c r="C2" s="143"/>
      <c r="D2" s="143"/>
      <c r="E2" s="143"/>
      <c r="F2" s="143"/>
      <c r="G2" s="143"/>
      <c r="H2" s="143"/>
      <c r="I2" s="144"/>
      <c r="J2" s="145" t="s">
        <v>182</v>
      </c>
    </row>
    <row r="3" spans="1:10" x14ac:dyDescent="0.25">
      <c r="A3" s="146" t="s">
        <v>183</v>
      </c>
      <c r="B3" s="147" t="s">
        <v>97</v>
      </c>
      <c r="C3" s="148" t="s">
        <v>184</v>
      </c>
      <c r="D3" s="149"/>
      <c r="E3" s="150" t="s">
        <v>185</v>
      </c>
      <c r="F3" s="151" t="s">
        <v>186</v>
      </c>
      <c r="G3" s="151" t="s">
        <v>187</v>
      </c>
      <c r="H3" s="152" t="s">
        <v>179</v>
      </c>
      <c r="I3" s="153"/>
      <c r="J3" s="154"/>
    </row>
    <row r="4" spans="1:10" x14ac:dyDescent="0.25">
      <c r="A4" s="155">
        <v>1</v>
      </c>
      <c r="B4" s="156"/>
      <c r="C4" s="157"/>
      <c r="D4" s="158"/>
      <c r="E4" s="159"/>
      <c r="F4" s="160">
        <f>SUM(F5:F10)</f>
        <v>3.3531578947368423</v>
      </c>
      <c r="G4" s="160">
        <f>F4/0.25</f>
        <v>13.41263157894737</v>
      </c>
      <c r="H4" s="161"/>
      <c r="I4" s="43"/>
      <c r="J4" s="162"/>
    </row>
    <row r="5" spans="1:10" x14ac:dyDescent="0.25">
      <c r="A5" s="155">
        <f t="shared" ref="A5:A9" si="0">A4+1</f>
        <v>2</v>
      </c>
      <c r="B5" s="156"/>
      <c r="C5" s="163" t="s">
        <v>188</v>
      </c>
      <c r="D5" s="156"/>
      <c r="E5" s="164">
        <v>0.5</v>
      </c>
      <c r="F5" s="160">
        <v>0.3</v>
      </c>
      <c r="G5" s="165">
        <v>0.25</v>
      </c>
      <c r="H5" s="161"/>
      <c r="I5" s="43"/>
      <c r="J5" s="162"/>
    </row>
    <row r="6" spans="1:10" x14ac:dyDescent="0.25">
      <c r="A6" s="155">
        <f t="shared" si="0"/>
        <v>3</v>
      </c>
      <c r="B6" s="156"/>
      <c r="C6" s="163" t="s">
        <v>189</v>
      </c>
      <c r="D6" s="156"/>
      <c r="E6" s="159" t="s">
        <v>190</v>
      </c>
      <c r="F6" s="160">
        <v>0.3</v>
      </c>
      <c r="G6" s="160"/>
      <c r="H6" s="161"/>
      <c r="I6" s="43"/>
      <c r="J6" s="162"/>
    </row>
    <row r="7" spans="1:10" x14ac:dyDescent="0.25">
      <c r="A7" s="155">
        <f t="shared" si="0"/>
        <v>4</v>
      </c>
      <c r="B7" s="156"/>
      <c r="C7" s="166" t="s">
        <v>191</v>
      </c>
      <c r="D7" s="167"/>
      <c r="E7" s="159" t="s">
        <v>190</v>
      </c>
      <c r="F7" s="160">
        <v>0.3</v>
      </c>
      <c r="G7" s="160"/>
      <c r="H7" s="161"/>
      <c r="I7" s="43"/>
      <c r="J7" s="162"/>
    </row>
    <row r="8" spans="1:10" x14ac:dyDescent="0.25">
      <c r="A8" s="155">
        <f t="shared" si="0"/>
        <v>5</v>
      </c>
      <c r="B8" s="156"/>
      <c r="C8" s="163" t="s">
        <v>192</v>
      </c>
      <c r="D8" s="156"/>
      <c r="E8" s="159" t="s">
        <v>193</v>
      </c>
      <c r="F8" s="160">
        <v>0.2</v>
      </c>
      <c r="G8" s="168"/>
      <c r="H8" s="161"/>
      <c r="I8" s="43"/>
      <c r="J8" s="162"/>
    </row>
    <row r="9" spans="1:10" x14ac:dyDescent="0.25">
      <c r="A9" s="155">
        <f t="shared" si="0"/>
        <v>6</v>
      </c>
      <c r="B9" s="156"/>
      <c r="C9" s="163" t="s">
        <v>194</v>
      </c>
      <c r="D9" s="156"/>
      <c r="E9" s="159" t="s">
        <v>190</v>
      </c>
      <c r="F9" s="160">
        <v>0.15</v>
      </c>
      <c r="G9" s="168"/>
      <c r="H9" s="161"/>
      <c r="I9" s="43"/>
      <c r="J9" s="162"/>
    </row>
    <row r="10" spans="1:10" x14ac:dyDescent="0.25">
      <c r="A10" s="155">
        <v>7</v>
      </c>
      <c r="B10" s="156"/>
      <c r="C10" s="169" t="s">
        <v>195</v>
      </c>
      <c r="D10" s="170"/>
      <c r="E10" s="159" t="s">
        <v>196</v>
      </c>
      <c r="F10" s="171">
        <f>9.99/19*4</f>
        <v>2.1031578947368423</v>
      </c>
      <c r="G10" s="172" t="s">
        <v>197</v>
      </c>
      <c r="H10" s="161"/>
      <c r="I10" s="43"/>
      <c r="J10" s="162"/>
    </row>
    <row r="11" ht="15.75" customHeight="1" spans="1:10" x14ac:dyDescent="0.25">
      <c r="A11" s="155"/>
      <c r="B11" s="156"/>
      <c r="C11" s="173" t="s">
        <v>179</v>
      </c>
      <c r="D11" s="174"/>
      <c r="E11" s="159" t="s">
        <v>179</v>
      </c>
      <c r="F11" s="160">
        <v>0</v>
      </c>
      <c r="G11" s="160">
        <f>G4-F4</f>
        <v>10.059473684210527</v>
      </c>
      <c r="H11" s="175"/>
      <c r="I11" s="176"/>
      <c r="J11" s="177"/>
    </row>
    <row r="12" ht="15.75" customHeight="1" spans="1:10" x14ac:dyDescent="0.25">
      <c r="A12" s="178" t="s">
        <v>180</v>
      </c>
      <c r="B12" s="179"/>
      <c r="C12" s="179"/>
      <c r="D12" s="179"/>
      <c r="E12" s="179"/>
      <c r="F12" s="179"/>
      <c r="G12" s="179"/>
      <c r="H12" s="179"/>
      <c r="I12" s="179"/>
      <c r="J12" s="180"/>
    </row>
    <row r="13" ht="15.75" customHeight="1" spans="1:11" x14ac:dyDescent="0.25">
      <c r="A13" s="181" t="s">
        <v>198</v>
      </c>
      <c r="B13" s="182"/>
      <c r="C13" s="182"/>
      <c r="D13" s="182"/>
      <c r="E13" s="182"/>
      <c r="F13" s="182"/>
      <c r="G13" s="182"/>
      <c r="H13" s="182"/>
      <c r="I13" s="183"/>
      <c r="J13" s="145" t="s">
        <v>182</v>
      </c>
      <c r="K13" s="184" t="s">
        <v>199</v>
      </c>
    </row>
    <row r="14" spans="1:10" x14ac:dyDescent="0.25">
      <c r="A14" s="146" t="s">
        <v>183</v>
      </c>
      <c r="B14" s="147" t="s">
        <v>97</v>
      </c>
      <c r="C14" s="185" t="s">
        <v>184</v>
      </c>
      <c r="D14" s="186"/>
      <c r="E14" s="150" t="s">
        <v>185</v>
      </c>
      <c r="F14" s="151" t="s">
        <v>186</v>
      </c>
      <c r="G14" s="151" t="s">
        <v>187</v>
      </c>
      <c r="H14" s="161" t="s">
        <v>179</v>
      </c>
      <c r="I14" s="187"/>
      <c r="J14" s="188"/>
    </row>
    <row r="15" spans="1:10" x14ac:dyDescent="0.25">
      <c r="A15" s="155">
        <v>1</v>
      </c>
      <c r="B15" s="156"/>
      <c r="C15" s="163"/>
      <c r="D15" s="189"/>
      <c r="E15" s="190"/>
      <c r="F15" s="160">
        <f>SUM(F16:F22)</f>
        <v>2.699375</v>
      </c>
      <c r="G15" s="160">
        <f>F15/0.23</f>
        <v>11.73641304347826</v>
      </c>
      <c r="H15" s="191"/>
      <c r="I15" s="187"/>
      <c r="J15" s="188"/>
    </row>
    <row r="16" spans="1:10" x14ac:dyDescent="0.25">
      <c r="A16" s="155">
        <f t="shared" ref="A16:A21" si="1">A15+1</f>
        <v>2</v>
      </c>
      <c r="B16" s="156"/>
      <c r="C16" s="192" t="s">
        <v>200</v>
      </c>
      <c r="D16" s="193"/>
      <c r="E16" s="159" t="s">
        <v>201</v>
      </c>
      <c r="F16" s="171">
        <f>0.85*2</f>
        <v>1.7</v>
      </c>
      <c r="G16" s="165">
        <v>0.23</v>
      </c>
      <c r="H16" s="191"/>
      <c r="I16" s="187"/>
      <c r="J16" s="188"/>
    </row>
    <row r="17" spans="1:10" x14ac:dyDescent="0.25">
      <c r="A17" s="155">
        <f t="shared" si="1"/>
        <v>3</v>
      </c>
      <c r="B17" s="156"/>
      <c r="C17" s="192" t="s">
        <v>202</v>
      </c>
      <c r="D17" s="193"/>
      <c r="E17" s="159" t="s">
        <v>203</v>
      </c>
      <c r="F17" s="160">
        <f>7.99/16</f>
        <v>0.499375</v>
      </c>
      <c r="G17" s="160"/>
      <c r="H17" s="191"/>
      <c r="I17" s="187"/>
      <c r="J17" s="188"/>
    </row>
    <row r="18" spans="1:10" x14ac:dyDescent="0.25">
      <c r="A18" s="155">
        <f t="shared" si="1"/>
        <v>4</v>
      </c>
      <c r="B18" s="156"/>
      <c r="C18" s="163" t="s">
        <v>204</v>
      </c>
      <c r="D18" s="189"/>
      <c r="E18" s="159" t="s">
        <v>205</v>
      </c>
      <c r="F18" s="160">
        <v>0.5</v>
      </c>
      <c r="G18" s="160"/>
      <c r="H18" s="191"/>
      <c r="I18" s="187"/>
      <c r="J18" s="188"/>
    </row>
    <row r="19" spans="1:10" x14ac:dyDescent="0.25">
      <c r="A19" s="155">
        <f t="shared" si="1"/>
        <v>5</v>
      </c>
      <c r="B19" s="156"/>
      <c r="C19" s="163" t="s">
        <v>179</v>
      </c>
      <c r="D19" s="189"/>
      <c r="E19" s="159" t="s">
        <v>179</v>
      </c>
      <c r="F19" s="160">
        <v>0</v>
      </c>
      <c r="G19" s="160"/>
      <c r="H19" s="191"/>
      <c r="I19" s="187"/>
      <c r="J19" s="188"/>
    </row>
    <row r="20" spans="1:10" x14ac:dyDescent="0.25">
      <c r="A20" s="155">
        <f t="shared" si="1"/>
        <v>6</v>
      </c>
      <c r="B20" s="156"/>
      <c r="C20" s="163"/>
      <c r="D20" s="189"/>
      <c r="E20" s="159"/>
      <c r="F20" s="160">
        <v>0</v>
      </c>
      <c r="G20" s="160"/>
      <c r="H20" s="191"/>
      <c r="I20" s="187"/>
      <c r="J20" s="188"/>
    </row>
    <row r="21" spans="1:10" x14ac:dyDescent="0.25">
      <c r="A21" s="155">
        <f t="shared" si="1"/>
        <v>7</v>
      </c>
      <c r="B21" s="156"/>
      <c r="C21" s="163"/>
      <c r="D21" s="189"/>
      <c r="E21" s="159"/>
      <c r="F21" s="160">
        <v>0</v>
      </c>
      <c r="G21" s="172" t="s">
        <v>197</v>
      </c>
      <c r="H21" s="191"/>
      <c r="I21" s="187"/>
      <c r="J21" s="188"/>
    </row>
    <row r="22" ht="15.75" customHeight="1" spans="1:10" x14ac:dyDescent="0.25">
      <c r="A22" s="155"/>
      <c r="B22" s="156"/>
      <c r="C22" s="163"/>
      <c r="D22" s="189"/>
      <c r="E22" s="159"/>
      <c r="F22" s="160"/>
      <c r="G22" s="160">
        <f>G15-F15</f>
        <v>9.03703804347826</v>
      </c>
      <c r="H22" s="194"/>
      <c r="I22" s="195"/>
      <c r="J22" s="196"/>
    </row>
    <row r="23" ht="15.75" customHeight="1" spans="1:10" x14ac:dyDescent="0.25">
      <c r="A23" s="178" t="s">
        <v>180</v>
      </c>
      <c r="B23" s="182"/>
      <c r="C23" s="182"/>
      <c r="D23" s="182"/>
      <c r="E23" s="182"/>
      <c r="F23" s="182"/>
      <c r="G23" s="182"/>
      <c r="H23" s="182"/>
      <c r="I23" s="182"/>
      <c r="J23" s="197"/>
    </row>
    <row r="24" ht="15.75" customHeight="1" spans="1:10" x14ac:dyDescent="0.25">
      <c r="A24" s="198" t="s">
        <v>206</v>
      </c>
      <c r="B24" s="182"/>
      <c r="C24" s="182"/>
      <c r="D24" s="182"/>
      <c r="E24" s="182"/>
      <c r="F24" s="182"/>
      <c r="G24" s="182"/>
      <c r="H24" s="199"/>
      <c r="I24" s="200"/>
      <c r="J24" s="201" t="s">
        <v>182</v>
      </c>
    </row>
    <row r="25" spans="1:10" x14ac:dyDescent="0.25">
      <c r="A25" s="146" t="s">
        <v>183</v>
      </c>
      <c r="B25" s="147" t="s">
        <v>97</v>
      </c>
      <c r="C25" s="185" t="s">
        <v>184</v>
      </c>
      <c r="D25" s="186"/>
      <c r="E25" s="150" t="s">
        <v>185</v>
      </c>
      <c r="F25" s="151" t="s">
        <v>186</v>
      </c>
      <c r="G25" s="202" t="s">
        <v>187</v>
      </c>
      <c r="H25" s="203"/>
      <c r="I25" s="204"/>
      <c r="J25" s="205"/>
    </row>
    <row r="26" spans="1:10" x14ac:dyDescent="0.25">
      <c r="A26" s="155">
        <v>1</v>
      </c>
      <c r="B26" s="156"/>
      <c r="C26" s="163"/>
      <c r="D26" s="189"/>
      <c r="E26" s="159"/>
      <c r="F26" s="160">
        <f>SUM(F27:F32)</f>
        <v>2.7831249999999996</v>
      </c>
      <c r="G26" s="206">
        <f>F26/0.2</f>
        <v>13.915624999999997</v>
      </c>
      <c r="H26" s="207"/>
      <c r="I26" s="43"/>
      <c r="J26" s="162"/>
    </row>
    <row r="27" spans="1:10" x14ac:dyDescent="0.25">
      <c r="A27" s="155">
        <f>A26+1</f>
        <v>2</v>
      </c>
      <c r="B27" s="156"/>
      <c r="C27" s="163" t="s">
        <v>207</v>
      </c>
      <c r="D27" s="189"/>
      <c r="E27" s="159" t="s">
        <v>208</v>
      </c>
      <c r="F27" s="160">
        <v>0.68</v>
      </c>
      <c r="G27" s="208">
        <v>0.2</v>
      </c>
      <c r="H27" s="207"/>
      <c r="I27" s="43"/>
      <c r="J27" s="162"/>
    </row>
    <row r="28" spans="1:10" x14ac:dyDescent="0.25">
      <c r="A28" s="155">
        <f t="shared" ref="A28:A36" si="2">A27+1</f>
        <v>3</v>
      </c>
      <c r="B28" s="156"/>
      <c r="C28" s="192" t="s">
        <v>209</v>
      </c>
      <c r="D28" s="193"/>
      <c r="E28" s="159" t="s">
        <v>210</v>
      </c>
      <c r="F28" s="160">
        <v>0.3</v>
      </c>
      <c r="G28" s="206"/>
      <c r="H28" s="207"/>
      <c r="I28" s="43"/>
      <c r="J28" s="162"/>
    </row>
    <row r="29" spans="1:10" x14ac:dyDescent="0.25">
      <c r="A29" s="155">
        <f t="shared" si="2"/>
        <v>4</v>
      </c>
      <c r="B29" s="156"/>
      <c r="C29" s="192" t="s">
        <v>211</v>
      </c>
      <c r="D29" s="193"/>
      <c r="E29" s="159" t="s">
        <v>212</v>
      </c>
      <c r="F29" s="160">
        <f>5.99/16*2</f>
        <v>0.74875</v>
      </c>
      <c r="G29" s="206"/>
      <c r="H29" s="207"/>
      <c r="I29" s="43"/>
      <c r="J29" s="162"/>
    </row>
    <row r="30" spans="1:10" x14ac:dyDescent="0.25">
      <c r="A30" s="155">
        <f t="shared" si="2"/>
        <v>5</v>
      </c>
      <c r="B30" s="156"/>
      <c r="C30" s="192" t="s">
        <v>213</v>
      </c>
      <c r="D30" s="209"/>
      <c r="E30" s="159" t="s">
        <v>205</v>
      </c>
      <c r="F30" s="160">
        <f>5.99/16</f>
        <v>0.374375</v>
      </c>
      <c r="G30" s="206"/>
      <c r="H30" s="207"/>
      <c r="I30" s="43"/>
      <c r="J30" s="162"/>
    </row>
    <row r="31" spans="1:10" x14ac:dyDescent="0.25">
      <c r="A31" s="155">
        <f t="shared" si="2"/>
        <v>6</v>
      </c>
      <c r="B31" s="156"/>
      <c r="C31" s="210" t="s">
        <v>129</v>
      </c>
      <c r="D31" s="189"/>
      <c r="E31" s="159" t="s">
        <v>210</v>
      </c>
      <c r="F31" s="160">
        <v>0.28</v>
      </c>
      <c r="G31" s="206"/>
      <c r="H31" s="207"/>
      <c r="I31" s="43"/>
      <c r="J31" s="162"/>
    </row>
    <row r="32" spans="1:12" x14ac:dyDescent="0.25">
      <c r="A32" s="155">
        <f t="shared" si="2"/>
        <v>7</v>
      </c>
      <c r="B32" s="156"/>
      <c r="C32" s="163" t="s">
        <v>214</v>
      </c>
      <c r="D32" s="189"/>
      <c r="E32" s="159" t="s">
        <v>196</v>
      </c>
      <c r="F32" s="160">
        <v>0.4</v>
      </c>
      <c r="G32" s="206"/>
      <c r="H32" s="207"/>
      <c r="I32" s="43"/>
      <c r="J32" s="162"/>
      <c r="L32" s="211" t="s">
        <v>215</v>
      </c>
    </row>
    <row r="33" spans="1:12" x14ac:dyDescent="0.25">
      <c r="A33" s="212">
        <f t="shared" si="2"/>
        <v>8</v>
      </c>
      <c r="B33" s="213"/>
      <c r="C33" s="214" t="s">
        <v>216</v>
      </c>
      <c r="D33" s="215"/>
      <c r="E33" s="216" t="s">
        <v>217</v>
      </c>
      <c r="F33" s="217">
        <f>5.74/16*6+0.5</f>
        <v>2.6525</v>
      </c>
      <c r="G33" s="206"/>
      <c r="H33" s="207"/>
      <c r="I33" s="43"/>
      <c r="J33" s="162"/>
      <c r="K33" s="218">
        <f>F33/0.25</f>
        <v>10.61</v>
      </c>
      <c r="L33" s="219">
        <v>11</v>
      </c>
    </row>
    <row r="34" spans="1:12" x14ac:dyDescent="0.25">
      <c r="A34" s="212">
        <f t="shared" si="2"/>
        <v>9</v>
      </c>
      <c r="B34" s="213"/>
      <c r="C34" s="214" t="s">
        <v>218</v>
      </c>
      <c r="D34" s="220"/>
      <c r="E34" s="216" t="s">
        <v>219</v>
      </c>
      <c r="F34" s="217">
        <f>8.99/16*6+0.25</f>
        <v>3.62125</v>
      </c>
      <c r="G34" s="206"/>
      <c r="H34" s="207"/>
      <c r="I34" s="43"/>
      <c r="J34" s="162"/>
      <c r="K34" s="218">
        <f t="shared" ref="K34:K36" si="3">F34/0.25</f>
        <v>14.485</v>
      </c>
      <c r="L34" s="219">
        <v>15</v>
      </c>
    </row>
    <row r="35" spans="1:12" x14ac:dyDescent="0.25">
      <c r="A35" s="212">
        <f t="shared" si="2"/>
        <v>10</v>
      </c>
      <c r="B35" s="213"/>
      <c r="C35" s="214" t="s">
        <v>220</v>
      </c>
      <c r="D35" s="215"/>
      <c r="E35" s="216" t="s">
        <v>217</v>
      </c>
      <c r="F35" s="217">
        <f>6.99/16*6+0.5</f>
        <v>3.12125</v>
      </c>
      <c r="G35" s="221" t="s">
        <v>197</v>
      </c>
      <c r="H35" s="207"/>
      <c r="I35" s="43"/>
      <c r="J35" s="162"/>
      <c r="K35" s="218">
        <f t="shared" si="3"/>
        <v>12.485</v>
      </c>
      <c r="L35" s="219">
        <v>13</v>
      </c>
    </row>
    <row r="36" ht="15.75" customHeight="1" spans="1:12" x14ac:dyDescent="0.25">
      <c r="A36" s="212">
        <f t="shared" si="2"/>
        <v>11</v>
      </c>
      <c r="B36" s="222"/>
      <c r="C36" s="223" t="s">
        <v>221</v>
      </c>
      <c r="D36" s="224"/>
      <c r="E36" s="225" t="s">
        <v>219</v>
      </c>
      <c r="F36" s="226">
        <f>5.74/16*6+0.5</f>
        <v>2.6525</v>
      </c>
      <c r="G36" s="227">
        <f>G26-F26</f>
        <v>11.132499999999997</v>
      </c>
      <c r="H36" s="228"/>
      <c r="I36" s="229"/>
      <c r="J36" s="230"/>
      <c r="K36" s="218">
        <f t="shared" si="3"/>
        <v>10.61</v>
      </c>
      <c r="L36" s="219">
        <v>12</v>
      </c>
    </row>
    <row r="37" ht="15.75" customHeight="1" spans="1:10" x14ac:dyDescent="0.25">
      <c r="A37" s="198" t="s">
        <v>222</v>
      </c>
      <c r="B37" s="182"/>
      <c r="C37" s="182"/>
      <c r="D37" s="182"/>
      <c r="E37" s="182"/>
      <c r="F37" s="182"/>
      <c r="G37" s="182"/>
      <c r="H37" s="231"/>
      <c r="I37" s="232"/>
      <c r="J37" s="233" t="s">
        <v>182</v>
      </c>
    </row>
    <row r="38" spans="1:10" x14ac:dyDescent="0.25">
      <c r="A38" s="146" t="s">
        <v>183</v>
      </c>
      <c r="B38" s="147" t="s">
        <v>97</v>
      </c>
      <c r="C38" s="185" t="s">
        <v>184</v>
      </c>
      <c r="D38" s="186"/>
      <c r="E38" s="150" t="s">
        <v>185</v>
      </c>
      <c r="F38" s="151" t="s">
        <v>186</v>
      </c>
      <c r="G38" s="151" t="s">
        <v>187</v>
      </c>
      <c r="H38" s="161" t="s">
        <v>179</v>
      </c>
      <c r="I38" s="187"/>
      <c r="J38" s="188"/>
    </row>
    <row r="39" spans="1:10" x14ac:dyDescent="0.25">
      <c r="A39" s="155">
        <v>1</v>
      </c>
      <c r="B39" s="156"/>
      <c r="C39" s="163" t="s">
        <v>223</v>
      </c>
      <c r="D39" s="156"/>
      <c r="E39" s="159" t="s">
        <v>219</v>
      </c>
      <c r="F39" s="160">
        <f>0.5+F40+F41</f>
        <v>1</v>
      </c>
      <c r="G39" s="160">
        <f>F39/0.2</f>
        <v>5</v>
      </c>
      <c r="H39" s="191"/>
      <c r="I39" s="187"/>
      <c r="J39" s="188"/>
    </row>
    <row r="40" spans="1:10" x14ac:dyDescent="0.25">
      <c r="A40" s="155">
        <f>A39+1</f>
        <v>2</v>
      </c>
      <c r="B40" s="156"/>
      <c r="C40" s="163" t="s">
        <v>224</v>
      </c>
      <c r="D40" s="156"/>
      <c r="E40" s="159" t="s">
        <v>212</v>
      </c>
      <c r="F40" s="160">
        <v>0.35</v>
      </c>
      <c r="G40" s="234">
        <v>0.2</v>
      </c>
      <c r="H40" s="191"/>
      <c r="I40" s="187"/>
      <c r="J40" s="188"/>
    </row>
    <row r="41" spans="1:10" x14ac:dyDescent="0.25">
      <c r="A41" s="155">
        <f t="shared" ref="A41:A43" si="4">A40+1</f>
        <v>3</v>
      </c>
      <c r="B41" s="156"/>
      <c r="C41" s="163" t="s">
        <v>225</v>
      </c>
      <c r="D41" s="156"/>
      <c r="E41" s="159" t="s">
        <v>226</v>
      </c>
      <c r="F41" s="160">
        <v>0.15</v>
      </c>
      <c r="G41" s="160"/>
      <c r="H41" s="191"/>
      <c r="I41" s="187"/>
      <c r="J41" s="188"/>
    </row>
    <row r="42" spans="1:10" x14ac:dyDescent="0.25">
      <c r="A42" s="155">
        <f t="shared" si="4"/>
        <v>4</v>
      </c>
      <c r="B42" s="156"/>
      <c r="C42" s="163"/>
      <c r="D42" s="189"/>
      <c r="E42" s="159"/>
      <c r="F42" s="160" t="s">
        <v>179</v>
      </c>
      <c r="G42" s="160"/>
      <c r="H42" s="191"/>
      <c r="I42" s="187"/>
      <c r="J42" s="188"/>
    </row>
    <row r="43" ht="15.75" customHeight="1" spans="1:10" x14ac:dyDescent="0.25">
      <c r="A43" s="155">
        <f t="shared" si="4"/>
        <v>5</v>
      </c>
      <c r="B43" s="156"/>
      <c r="C43" s="235"/>
      <c r="D43" s="193"/>
      <c r="E43" s="159"/>
      <c r="F43" s="160" t="s">
        <v>179</v>
      </c>
      <c r="G43" s="160"/>
      <c r="H43" s="191"/>
      <c r="I43" s="187"/>
      <c r="J43" s="188"/>
    </row>
    <row r="44" ht="15.75" customHeight="1" spans="1:10" x14ac:dyDescent="0.25">
      <c r="A44" s="236" t="s">
        <v>227</v>
      </c>
      <c r="B44" s="237"/>
      <c r="C44" s="237"/>
      <c r="D44" s="237"/>
      <c r="E44" s="237"/>
      <c r="F44" s="237"/>
      <c r="G44" s="237"/>
      <c r="H44" s="237"/>
      <c r="I44" s="238"/>
      <c r="J44" s="145" t="s">
        <v>182</v>
      </c>
    </row>
    <row r="45" spans="1:10" x14ac:dyDescent="0.25">
      <c r="A45" s="146" t="s">
        <v>183</v>
      </c>
      <c r="B45" s="147" t="s">
        <v>97</v>
      </c>
      <c r="C45" s="185" t="s">
        <v>184</v>
      </c>
      <c r="D45" s="186"/>
      <c r="E45" s="150" t="s">
        <v>185</v>
      </c>
      <c r="F45" s="151" t="s">
        <v>186</v>
      </c>
      <c r="G45" s="151" t="s">
        <v>187</v>
      </c>
      <c r="H45" s="161"/>
      <c r="I45" s="187"/>
      <c r="J45" s="188"/>
    </row>
    <row r="46" spans="1:10" x14ac:dyDescent="0.25">
      <c r="A46" s="155">
        <v>1</v>
      </c>
      <c r="B46" s="156"/>
      <c r="C46" s="163"/>
      <c r="D46" s="189"/>
      <c r="E46" s="159"/>
      <c r="F46" s="160">
        <f>SUM(F47:F53)</f>
        <v>2.6</v>
      </c>
      <c r="G46" s="160">
        <f>F46/0.25</f>
        <v>10.4</v>
      </c>
      <c r="H46" s="191"/>
      <c r="I46" s="187"/>
      <c r="J46" s="188"/>
    </row>
    <row r="47" spans="1:10" x14ac:dyDescent="0.25">
      <c r="A47" s="155">
        <v>2</v>
      </c>
      <c r="B47" s="156"/>
      <c r="C47" s="163" t="s">
        <v>228</v>
      </c>
      <c r="D47" s="189"/>
      <c r="E47" s="159" t="s">
        <v>229</v>
      </c>
      <c r="F47" s="160">
        <v>0.65</v>
      </c>
      <c r="G47" s="234"/>
      <c r="H47" s="191"/>
      <c r="I47" s="187"/>
      <c r="J47" s="188"/>
    </row>
    <row r="48" spans="1:10" x14ac:dyDescent="0.25">
      <c r="A48" s="155">
        <v>3</v>
      </c>
      <c r="B48" s="156"/>
      <c r="C48" s="239" t="s">
        <v>230</v>
      </c>
      <c r="D48" s="240"/>
      <c r="E48" s="159" t="s">
        <v>231</v>
      </c>
      <c r="F48" s="160">
        <v>1.7</v>
      </c>
      <c r="G48" s="160"/>
      <c r="H48" s="191"/>
      <c r="I48" s="187"/>
      <c r="J48" s="188"/>
    </row>
    <row r="49" spans="1:10" x14ac:dyDescent="0.25">
      <c r="A49" s="155">
        <v>4</v>
      </c>
      <c r="B49" s="156"/>
      <c r="C49" s="192" t="s">
        <v>232</v>
      </c>
      <c r="D49" s="193"/>
      <c r="E49" s="159" t="s">
        <v>203</v>
      </c>
      <c r="F49" s="160">
        <v>0.25</v>
      </c>
      <c r="G49" s="160"/>
      <c r="H49" s="191"/>
      <c r="I49" s="187"/>
      <c r="J49" s="188"/>
    </row>
    <row r="50" spans="1:10" x14ac:dyDescent="0.25">
      <c r="A50" s="155">
        <v>5</v>
      </c>
      <c r="B50" s="156"/>
      <c r="C50" s="210"/>
      <c r="D50" s="189"/>
      <c r="E50" s="159"/>
      <c r="F50" s="160"/>
      <c r="G50" s="160"/>
      <c r="H50" s="191"/>
      <c r="I50" s="187"/>
      <c r="J50" s="188"/>
    </row>
    <row r="51" spans="1:10" x14ac:dyDescent="0.25">
      <c r="A51" s="155">
        <v>6</v>
      </c>
      <c r="B51" s="156"/>
      <c r="C51" s="163"/>
      <c r="D51" s="189"/>
      <c r="E51" s="159"/>
      <c r="F51" s="160"/>
      <c r="G51" s="160"/>
      <c r="H51" s="191"/>
      <c r="I51" s="187"/>
      <c r="J51" s="188"/>
    </row>
    <row r="52" spans="1:10" x14ac:dyDescent="0.25">
      <c r="A52" s="155">
        <v>7</v>
      </c>
      <c r="B52" s="156"/>
      <c r="C52" s="163"/>
      <c r="D52" s="189"/>
      <c r="E52" s="159"/>
      <c r="F52" s="160">
        <v>0</v>
      </c>
      <c r="G52" s="172" t="s">
        <v>197</v>
      </c>
      <c r="H52" s="191"/>
      <c r="I52" s="187"/>
      <c r="J52" s="188"/>
    </row>
    <row r="53" ht="15.75" customHeight="1" spans="1:10" x14ac:dyDescent="0.25">
      <c r="A53" s="241">
        <v>8</v>
      </c>
      <c r="B53" s="242"/>
      <c r="C53" s="243"/>
      <c r="D53" s="244"/>
      <c r="E53" s="245"/>
      <c r="F53" s="246"/>
      <c r="G53" s="246">
        <f>G46-F46</f>
        <v>7.800000000000001</v>
      </c>
      <c r="H53" s="191"/>
      <c r="I53" s="247"/>
      <c r="J53" s="196"/>
    </row>
    <row r="54" ht="15.75" customHeight="1" spans="1:10" x14ac:dyDescent="0.25">
      <c r="A54" s="248" t="s">
        <v>233</v>
      </c>
      <c r="B54" s="249"/>
      <c r="C54" s="249"/>
      <c r="D54" s="249"/>
      <c r="E54" s="249"/>
      <c r="F54" s="249"/>
      <c r="G54" s="249"/>
      <c r="H54" s="249"/>
      <c r="I54" s="250"/>
      <c r="J54" s="251" t="s">
        <v>182</v>
      </c>
    </row>
    <row r="55" spans="1:10" x14ac:dyDescent="0.25">
      <c r="A55" s="146" t="s">
        <v>183</v>
      </c>
      <c r="B55" s="150" t="s">
        <v>97</v>
      </c>
      <c r="C55" s="185" t="s">
        <v>184</v>
      </c>
      <c r="D55" s="186"/>
      <c r="E55" s="150" t="s">
        <v>6</v>
      </c>
      <c r="F55" s="151" t="s">
        <v>186</v>
      </c>
      <c r="G55" s="151" t="s">
        <v>187</v>
      </c>
      <c r="H55" s="161"/>
      <c r="I55" s="247"/>
      <c r="J55" s="252"/>
    </row>
    <row r="56" spans="1:10" x14ac:dyDescent="0.25">
      <c r="A56" s="155">
        <v>1</v>
      </c>
      <c r="B56" s="253"/>
      <c r="C56" s="163" t="s">
        <v>234</v>
      </c>
      <c r="D56" s="189"/>
      <c r="E56" s="254" t="s">
        <v>235</v>
      </c>
      <c r="F56" s="160">
        <f>0.85*2</f>
        <v>1.7</v>
      </c>
      <c r="G56" s="160">
        <f>(F56+F57)/0.22</f>
        <v>8.409090909090908</v>
      </c>
      <c r="H56" s="191"/>
      <c r="I56" s="187"/>
      <c r="J56" s="188"/>
    </row>
    <row r="57" spans="1:10" x14ac:dyDescent="0.25">
      <c r="A57" s="155">
        <v>2</v>
      </c>
      <c r="B57" s="253"/>
      <c r="C57" s="239" t="s">
        <v>236</v>
      </c>
      <c r="D57" s="240"/>
      <c r="E57" s="159" t="s">
        <v>237</v>
      </c>
      <c r="F57" s="160">
        <v>0.15</v>
      </c>
      <c r="G57" s="234">
        <v>0.22</v>
      </c>
      <c r="H57" s="191"/>
      <c r="I57" s="187"/>
      <c r="J57" s="188"/>
    </row>
    <row r="58" spans="1:10" x14ac:dyDescent="0.25">
      <c r="A58" s="155">
        <v>3</v>
      </c>
      <c r="B58" s="253"/>
      <c r="C58" s="163" t="s">
        <v>179</v>
      </c>
      <c r="D58" s="189"/>
      <c r="E58" s="159"/>
      <c r="F58" s="160">
        <v>0</v>
      </c>
      <c r="G58" s="172" t="s">
        <v>197</v>
      </c>
      <c r="H58" s="191"/>
      <c r="I58" s="187"/>
      <c r="J58" s="188"/>
    </row>
    <row r="59" ht="15.75" customHeight="1" spans="1:10" x14ac:dyDescent="0.25">
      <c r="A59" s="255">
        <v>4</v>
      </c>
      <c r="B59" s="256"/>
      <c r="C59" s="257"/>
      <c r="D59" s="258"/>
      <c r="E59" s="259"/>
      <c r="F59" s="260"/>
      <c r="G59" s="260">
        <f>G56-F56</f>
        <v>6.709090909090908</v>
      </c>
      <c r="H59" s="261"/>
      <c r="I59" s="262"/>
      <c r="J59" s="263"/>
    </row>
  </sheetData>
  <mergeCells count="65">
    <mergeCell ref="A1:J1"/>
    <mergeCell ref="A2:I2"/>
    <mergeCell ref="C3:D3"/>
    <mergeCell ref="H3:J11"/>
    <mergeCell ref="C4:D4"/>
    <mergeCell ref="C5:D5"/>
    <mergeCell ref="C6:D6"/>
    <mergeCell ref="C7:D7"/>
    <mergeCell ref="C8:D8"/>
    <mergeCell ref="C9:D9"/>
    <mergeCell ref="C10:D10"/>
    <mergeCell ref="C11:D11"/>
    <mergeCell ref="A12:J12"/>
    <mergeCell ref="A13:I13"/>
    <mergeCell ref="C14:D14"/>
    <mergeCell ref="H14:J22"/>
    <mergeCell ref="C15:D15"/>
    <mergeCell ref="C16:D16"/>
    <mergeCell ref="C17:D17"/>
    <mergeCell ref="C18:D18"/>
    <mergeCell ref="C19:D19"/>
    <mergeCell ref="C20:D20"/>
    <mergeCell ref="C21:D21"/>
    <mergeCell ref="C22:D22"/>
    <mergeCell ref="A23:J23"/>
    <mergeCell ref="A24:I24"/>
    <mergeCell ref="C25:D25"/>
    <mergeCell ref="H25:J36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A37:I37"/>
    <mergeCell ref="C38:D38"/>
    <mergeCell ref="H38:J43"/>
    <mergeCell ref="C39:D39"/>
    <mergeCell ref="C40:D40"/>
    <mergeCell ref="C41:D41"/>
    <mergeCell ref="C42:D42"/>
    <mergeCell ref="C43:D43"/>
    <mergeCell ref="A44:I44"/>
    <mergeCell ref="C45:D45"/>
    <mergeCell ref="H45:J53"/>
    <mergeCell ref="C46:D46"/>
    <mergeCell ref="C47:D47"/>
    <mergeCell ref="C48:D48"/>
    <mergeCell ref="C49:D49"/>
    <mergeCell ref="C50:D50"/>
    <mergeCell ref="C51:D51"/>
    <mergeCell ref="C52:D52"/>
    <mergeCell ref="C53:D53"/>
    <mergeCell ref="A54:I54"/>
    <mergeCell ref="C55:D55"/>
    <mergeCell ref="H55:J59"/>
    <mergeCell ref="C56:D56"/>
    <mergeCell ref="C57:D57"/>
    <mergeCell ref="C58:D58"/>
    <mergeCell ref="C59:D59"/>
  </mergeCells>
  <pageMargins left="0.7" right="0.7" top="0.75" bottom="0.75" header="0.3" footer="0.3"/>
  <pageSetup orientation="portrait" horizontalDpi="4294967295" verticalDpi="4294967295" scale="82" fitToWidth="1" fitToHeight="0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"/>
  </sheetPr>
  <dimension ref="A1:L80"/>
  <sheetViews>
    <sheetView workbookViewId="0" zoomScale="100" zoomScaleNormal="100">
      <selection activeCell="G27" sqref="G27"/>
    </sheetView>
  </sheetViews>
  <sheetFormatPr defaultRowHeight="15" outlineLevelRow="0" outlineLevelCol="0" x14ac:dyDescent="0.2"/>
  <cols>
    <col min="2" max="2" width="9.14453125" style="264" customWidth="1"/>
    <col min="4" max="4" width="17.484375" customWidth="1"/>
    <col min="7" max="7" width="8.875" customWidth="1"/>
    <col min="10" max="10" width="19.50390625" customWidth="1"/>
  </cols>
  <sheetData>
    <row r="1" ht="15.75" customHeight="1" spans="1:10" x14ac:dyDescent="0.25">
      <c r="A1" s="139" t="s">
        <v>238</v>
      </c>
      <c r="B1" s="265"/>
      <c r="C1" s="265"/>
      <c r="D1" s="265"/>
      <c r="E1" s="265"/>
      <c r="F1" s="265"/>
      <c r="G1" s="265"/>
      <c r="H1" s="265"/>
      <c r="I1" s="265"/>
      <c r="J1" s="266"/>
    </row>
    <row r="2" ht="28.5" customHeight="1" spans="1:10" x14ac:dyDescent="0.25">
      <c r="A2" s="267" t="s">
        <v>239</v>
      </c>
      <c r="B2" s="182"/>
      <c r="C2" s="182"/>
      <c r="D2" s="182"/>
      <c r="E2" s="182"/>
      <c r="F2" s="182"/>
      <c r="G2" s="182"/>
      <c r="H2" s="182"/>
      <c r="I2" s="183"/>
      <c r="J2" s="145" t="s">
        <v>182</v>
      </c>
    </row>
    <row r="3" spans="1:10" x14ac:dyDescent="0.25">
      <c r="A3" s="146" t="s">
        <v>183</v>
      </c>
      <c r="B3" s="147" t="s">
        <v>97</v>
      </c>
      <c r="C3" s="185" t="s">
        <v>184</v>
      </c>
      <c r="D3" s="186"/>
      <c r="E3" s="268" t="s">
        <v>185</v>
      </c>
      <c r="F3" s="151" t="s">
        <v>186</v>
      </c>
      <c r="G3" s="151" t="s">
        <v>187</v>
      </c>
      <c r="H3" s="161"/>
      <c r="I3" s="187"/>
      <c r="J3" s="188"/>
    </row>
    <row r="4" spans="1:10" x14ac:dyDescent="0.25">
      <c r="A4" s="155">
        <v>1</v>
      </c>
      <c r="B4" s="269"/>
      <c r="C4" s="270"/>
      <c r="D4" s="189"/>
      <c r="E4" s="159"/>
      <c r="F4" s="160">
        <f>SUM(F5:F10)</f>
        <v>4.297499999999999</v>
      </c>
      <c r="G4" s="160">
        <f>F4/0.25</f>
        <v>17.189999999999998</v>
      </c>
      <c r="H4" s="191"/>
      <c r="I4" s="187"/>
      <c r="J4" s="188"/>
    </row>
    <row r="5" spans="1:10" x14ac:dyDescent="0.25">
      <c r="A5" s="155">
        <f t="shared" ref="A5:A11" si="0">A4+1</f>
        <v>2</v>
      </c>
      <c r="B5" s="269"/>
      <c r="C5" s="239" t="s">
        <v>240</v>
      </c>
      <c r="D5" s="240"/>
      <c r="E5" s="159" t="s">
        <v>241</v>
      </c>
      <c r="F5" s="160">
        <f>4.25/16*12+0.45</f>
        <v>3.6375</v>
      </c>
      <c r="G5" s="165">
        <v>0.25</v>
      </c>
      <c r="H5" s="191"/>
      <c r="I5" s="187"/>
      <c r="J5" s="188"/>
    </row>
    <row r="6" spans="1:10" x14ac:dyDescent="0.25">
      <c r="A6" s="155">
        <f t="shared" si="0"/>
        <v>3</v>
      </c>
      <c r="B6" s="269"/>
      <c r="C6" s="163" t="s">
        <v>105</v>
      </c>
      <c r="D6" s="189"/>
      <c r="E6" s="159" t="s">
        <v>242</v>
      </c>
      <c r="F6" s="160">
        <v>0.25</v>
      </c>
      <c r="G6" s="160"/>
      <c r="H6" s="191"/>
      <c r="I6" s="187"/>
      <c r="J6" s="188"/>
    </row>
    <row r="7" spans="1:10" x14ac:dyDescent="0.25">
      <c r="A7" s="155">
        <f t="shared" si="0"/>
        <v>4</v>
      </c>
      <c r="B7" s="269"/>
      <c r="C7" s="163" t="s">
        <v>137</v>
      </c>
      <c r="D7" s="189"/>
      <c r="E7" s="159" t="s">
        <v>212</v>
      </c>
      <c r="F7" s="160">
        <v>0.35</v>
      </c>
      <c r="G7" s="160"/>
      <c r="H7" s="191"/>
      <c r="I7" s="187"/>
      <c r="J7" s="188"/>
    </row>
    <row r="8" spans="1:10" x14ac:dyDescent="0.25">
      <c r="A8" s="155">
        <f t="shared" si="0"/>
        <v>5</v>
      </c>
      <c r="B8" s="269"/>
      <c r="C8" s="163" t="s">
        <v>243</v>
      </c>
      <c r="D8" s="189"/>
      <c r="E8" s="159" t="s">
        <v>193</v>
      </c>
      <c r="F8" s="160">
        <v>0.04</v>
      </c>
      <c r="G8" s="160"/>
      <c r="H8" s="191"/>
      <c r="I8" s="187"/>
      <c r="J8" s="188"/>
    </row>
    <row r="9" spans="1:10" x14ac:dyDescent="0.25">
      <c r="A9" s="155">
        <f t="shared" si="0"/>
        <v>6</v>
      </c>
      <c r="B9" s="269"/>
      <c r="C9" s="163" t="s">
        <v>244</v>
      </c>
      <c r="D9" s="189"/>
      <c r="E9" s="159" t="s">
        <v>245</v>
      </c>
      <c r="F9" s="160">
        <v>0.02</v>
      </c>
      <c r="G9" s="160"/>
      <c r="H9" s="191"/>
      <c r="I9" s="187"/>
      <c r="J9" s="188"/>
    </row>
    <row r="10" spans="1:10" x14ac:dyDescent="0.25">
      <c r="A10" s="155">
        <f t="shared" si="0"/>
        <v>7</v>
      </c>
      <c r="B10" s="269"/>
      <c r="C10" s="163" t="s">
        <v>179</v>
      </c>
      <c r="D10" s="189"/>
      <c r="E10" s="159"/>
      <c r="F10" s="160">
        <v>0</v>
      </c>
      <c r="G10" s="172" t="s">
        <v>197</v>
      </c>
      <c r="H10" s="191"/>
      <c r="I10" s="187"/>
      <c r="J10" s="188"/>
    </row>
    <row r="11" ht="15.75" customHeight="1" spans="1:10" x14ac:dyDescent="0.25">
      <c r="A11" s="155">
        <f t="shared" si="0"/>
        <v>8</v>
      </c>
      <c r="B11" s="269"/>
      <c r="C11" s="163"/>
      <c r="D11" s="189"/>
      <c r="E11" s="159"/>
      <c r="F11" s="160"/>
      <c r="G11" s="160">
        <f>G4-F4</f>
        <v>12.892499999999998</v>
      </c>
      <c r="H11" s="194"/>
      <c r="I11" s="195"/>
      <c r="J11" s="196"/>
    </row>
    <row r="12" ht="15.75" customHeight="1" spans="1:10" x14ac:dyDescent="0.25">
      <c r="A12" s="139" t="s">
        <v>238</v>
      </c>
      <c r="B12" s="265"/>
      <c r="C12" s="265"/>
      <c r="D12" s="265"/>
      <c r="E12" s="265"/>
      <c r="F12" s="265"/>
      <c r="G12" s="265"/>
      <c r="H12" s="265"/>
      <c r="I12" s="265"/>
      <c r="J12" s="266"/>
    </row>
    <row r="13" ht="25.5" customHeight="1" spans="1:10" x14ac:dyDescent="0.25">
      <c r="A13" s="271" t="s">
        <v>246</v>
      </c>
      <c r="B13" s="272"/>
      <c r="C13" s="272"/>
      <c r="D13" s="272"/>
      <c r="E13" s="272"/>
      <c r="F13" s="272"/>
      <c r="G13" s="272"/>
      <c r="H13" s="272"/>
      <c r="I13" s="273"/>
      <c r="J13" s="274" t="s">
        <v>182</v>
      </c>
    </row>
    <row r="14" spans="1:12" x14ac:dyDescent="0.25">
      <c r="A14" s="275" t="s">
        <v>183</v>
      </c>
      <c r="B14" s="276" t="s">
        <v>97</v>
      </c>
      <c r="C14" s="277" t="s">
        <v>184</v>
      </c>
      <c r="D14" s="186"/>
      <c r="E14" s="268" t="s">
        <v>185</v>
      </c>
      <c r="F14" s="278" t="s">
        <v>186</v>
      </c>
      <c r="G14" s="278" t="s">
        <v>187</v>
      </c>
      <c r="H14" s="279"/>
      <c r="I14" s="187"/>
      <c r="J14" s="280"/>
      <c r="K14" s="281"/>
      <c r="L14" s="281"/>
    </row>
    <row r="15" spans="1:10" x14ac:dyDescent="0.25">
      <c r="A15" s="282">
        <v>1</v>
      </c>
      <c r="B15" s="283"/>
      <c r="C15" s="239"/>
      <c r="D15" s="284"/>
      <c r="E15" s="285"/>
      <c r="F15" s="286">
        <f>SUM(F16:F21)</f>
        <v>5.455</v>
      </c>
      <c r="G15" s="286">
        <f>F15/0.23</f>
        <v>23.717391304347824</v>
      </c>
      <c r="H15" s="191"/>
      <c r="I15" s="187"/>
      <c r="J15" s="280"/>
    </row>
    <row r="16" spans="1:10" x14ac:dyDescent="0.25">
      <c r="A16" s="282">
        <f t="shared" ref="A16:A22" si="1">A15+1</f>
        <v>2</v>
      </c>
      <c r="B16" s="283"/>
      <c r="C16" s="287" t="s">
        <v>247</v>
      </c>
      <c r="D16" s="189"/>
      <c r="E16" s="285" t="s">
        <v>248</v>
      </c>
      <c r="F16" s="286">
        <v>0.29</v>
      </c>
      <c r="G16" s="288">
        <v>0.23</v>
      </c>
      <c r="H16" s="191"/>
      <c r="I16" s="187"/>
      <c r="J16" s="280"/>
    </row>
    <row r="17" spans="1:10" x14ac:dyDescent="0.25">
      <c r="A17" s="282">
        <f t="shared" si="1"/>
        <v>3</v>
      </c>
      <c r="B17" s="289"/>
      <c r="C17" s="290" t="s">
        <v>249</v>
      </c>
      <c r="D17" s="244"/>
      <c r="E17" s="291" t="s">
        <v>212</v>
      </c>
      <c r="F17" s="292">
        <v>0.75</v>
      </c>
      <c r="G17" s="292"/>
      <c r="H17" s="191"/>
      <c r="I17" s="187"/>
      <c r="J17" s="280"/>
    </row>
    <row r="18" spans="1:10" x14ac:dyDescent="0.25">
      <c r="A18" s="293">
        <f t="shared" si="1"/>
        <v>4</v>
      </c>
      <c r="B18" s="294"/>
      <c r="C18" s="295" t="s">
        <v>250</v>
      </c>
      <c r="D18" s="295"/>
      <c r="E18" s="285" t="s">
        <v>251</v>
      </c>
      <c r="F18" s="286">
        <f>5.25/16*8</f>
        <v>2.625</v>
      </c>
      <c r="G18" s="286"/>
      <c r="H18" s="247"/>
      <c r="I18" s="187"/>
      <c r="J18" s="280"/>
    </row>
    <row r="19" spans="1:10" x14ac:dyDescent="0.25">
      <c r="A19" s="282">
        <f t="shared" si="1"/>
        <v>5</v>
      </c>
      <c r="B19" s="296"/>
      <c r="C19" s="297" t="s">
        <v>252</v>
      </c>
      <c r="D19" s="186"/>
      <c r="E19" s="298" t="s">
        <v>201</v>
      </c>
      <c r="F19" s="299">
        <v>0.4</v>
      </c>
      <c r="G19" s="299"/>
      <c r="H19" s="191"/>
      <c r="I19" s="187"/>
      <c r="J19" s="280"/>
    </row>
    <row r="20" spans="1:10" x14ac:dyDescent="0.25">
      <c r="A20" s="282">
        <f t="shared" si="1"/>
        <v>6</v>
      </c>
      <c r="B20" s="283"/>
      <c r="C20" s="300" t="s">
        <v>253</v>
      </c>
      <c r="D20" s="189"/>
      <c r="E20" s="285" t="s">
        <v>219</v>
      </c>
      <c r="F20" s="286">
        <v>0.51</v>
      </c>
      <c r="G20" s="286"/>
      <c r="H20" s="191"/>
      <c r="I20" s="187"/>
      <c r="J20" s="280"/>
    </row>
    <row r="21" spans="1:10" x14ac:dyDescent="0.25">
      <c r="A21" s="282">
        <f t="shared" si="1"/>
        <v>7</v>
      </c>
      <c r="B21" s="283"/>
      <c r="C21" s="301" t="s">
        <v>254</v>
      </c>
      <c r="D21" s="189"/>
      <c r="E21" s="285" t="s">
        <v>31</v>
      </c>
      <c r="F21" s="286">
        <v>0.88</v>
      </c>
      <c r="G21" s="302" t="s">
        <v>197</v>
      </c>
      <c r="H21" s="191"/>
      <c r="I21" s="187"/>
      <c r="J21" s="280"/>
    </row>
    <row r="22" ht="15.75" customHeight="1" spans="1:10" x14ac:dyDescent="0.25">
      <c r="A22" s="282">
        <f t="shared" si="1"/>
        <v>8</v>
      </c>
      <c r="B22" s="283"/>
      <c r="C22" s="301" t="s">
        <v>179</v>
      </c>
      <c r="D22" s="189"/>
      <c r="E22" s="285" t="s">
        <v>179</v>
      </c>
      <c r="F22" s="286">
        <v>0</v>
      </c>
      <c r="G22" s="286">
        <f>G15-F15</f>
        <v>18.262391304347823</v>
      </c>
      <c r="H22" s="194"/>
      <c r="I22" s="195"/>
      <c r="J22" s="303"/>
    </row>
    <row r="23" ht="15.75" customHeight="1" spans="1:10" s="187" customFormat="1" x14ac:dyDescent="0.25">
      <c r="A23" s="139" t="s">
        <v>238</v>
      </c>
      <c r="B23" s="265"/>
      <c r="C23" s="265"/>
      <c r="D23" s="265"/>
      <c r="E23" s="265"/>
      <c r="F23" s="265"/>
      <c r="G23" s="265"/>
      <c r="H23" s="265"/>
      <c r="I23" s="265"/>
      <c r="J23" s="266"/>
    </row>
    <row r="24" ht="40.5" customHeight="1" spans="1:10" s="187" customFormat="1" x14ac:dyDescent="0.25">
      <c r="A24" s="304" t="s">
        <v>255</v>
      </c>
      <c r="B24" s="305"/>
      <c r="C24" s="305"/>
      <c r="D24" s="305"/>
      <c r="E24" s="305"/>
      <c r="F24" s="305"/>
      <c r="G24" s="305"/>
      <c r="H24" s="305"/>
      <c r="I24" s="306"/>
      <c r="J24" s="274" t="s">
        <v>182</v>
      </c>
    </row>
    <row r="25" spans="1:10" s="187" customFormat="1" x14ac:dyDescent="0.25">
      <c r="A25" s="275" t="s">
        <v>183</v>
      </c>
      <c r="B25" s="276" t="s">
        <v>97</v>
      </c>
      <c r="C25" s="277" t="s">
        <v>184</v>
      </c>
      <c r="D25" s="186"/>
      <c r="E25" s="268" t="s">
        <v>185</v>
      </c>
      <c r="F25" s="278" t="s">
        <v>186</v>
      </c>
      <c r="G25" s="278" t="s">
        <v>187</v>
      </c>
      <c r="H25" s="279"/>
      <c r="I25" s="187"/>
      <c r="J25" s="280"/>
    </row>
    <row r="26" spans="1:10" s="187" customFormat="1" x14ac:dyDescent="0.25">
      <c r="A26" s="282">
        <v>1</v>
      </c>
      <c r="B26" s="283"/>
      <c r="C26" s="239"/>
      <c r="D26" s="284"/>
      <c r="E26" s="285"/>
      <c r="F26" s="286">
        <f>SUM(F27:F33)</f>
        <v>5.75625</v>
      </c>
      <c r="G26" s="286">
        <f>F26/0.22</f>
        <v>26.164772727272727</v>
      </c>
      <c r="H26" s="191"/>
      <c r="I26" s="187"/>
      <c r="J26" s="280"/>
    </row>
    <row r="27" spans="1:10" s="187" customFormat="1" x14ac:dyDescent="0.25">
      <c r="A27" s="282">
        <f t="shared" ref="A27:A34" si="2">A26+1</f>
        <v>2</v>
      </c>
      <c r="B27" s="283"/>
      <c r="C27" s="287" t="s">
        <v>256</v>
      </c>
      <c r="D27" s="189"/>
      <c r="E27" s="285" t="s">
        <v>257</v>
      </c>
      <c r="F27" s="286">
        <v>0.29</v>
      </c>
      <c r="G27" s="288">
        <v>0.22</v>
      </c>
      <c r="H27" s="191"/>
      <c r="I27" s="187"/>
      <c r="J27" s="280"/>
    </row>
    <row r="28" spans="1:10" s="187" customFormat="1" x14ac:dyDescent="0.25">
      <c r="A28" s="282">
        <f t="shared" si="2"/>
        <v>3</v>
      </c>
      <c r="B28" s="289"/>
      <c r="C28" s="290" t="s">
        <v>258</v>
      </c>
      <c r="D28" s="244"/>
      <c r="E28" s="291" t="s">
        <v>259</v>
      </c>
      <c r="F28" s="286">
        <f>10.16/16*2+0.22</f>
        <v>1.49</v>
      </c>
      <c r="G28" s="292"/>
      <c r="H28" s="191"/>
      <c r="I28" s="187"/>
      <c r="J28" s="280"/>
    </row>
    <row r="29" spans="1:10" s="187" customFormat="1" x14ac:dyDescent="0.25">
      <c r="A29" s="293">
        <v>4</v>
      </c>
      <c r="B29" s="289"/>
      <c r="C29" s="301" t="s">
        <v>260</v>
      </c>
      <c r="D29" s="307"/>
      <c r="E29" s="291" t="s">
        <v>259</v>
      </c>
      <c r="F29" s="160">
        <f>6.99/16*2</f>
        <v>0.87375</v>
      </c>
      <c r="G29" s="292"/>
      <c r="H29" s="247"/>
      <c r="I29" s="187"/>
      <c r="J29" s="280"/>
    </row>
    <row r="30" spans="1:10" s="187" customFormat="1" x14ac:dyDescent="0.25">
      <c r="A30" s="293">
        <f>A28+1</f>
        <v>4</v>
      </c>
      <c r="B30" s="294"/>
      <c r="C30" s="295" t="s">
        <v>261</v>
      </c>
      <c r="D30" s="295"/>
      <c r="E30" s="285" t="s">
        <v>196</v>
      </c>
      <c r="F30" s="286">
        <f>5.25/16*4</f>
        <v>1.3125</v>
      </c>
      <c r="G30" s="286"/>
      <c r="H30" s="247"/>
      <c r="I30" s="187"/>
      <c r="J30" s="280"/>
    </row>
    <row r="31" spans="1:10" s="187" customFormat="1" x14ac:dyDescent="0.25">
      <c r="A31" s="282">
        <f t="shared" si="2"/>
        <v>5</v>
      </c>
      <c r="B31" s="296"/>
      <c r="C31" s="297" t="s">
        <v>252</v>
      </c>
      <c r="D31" s="186"/>
      <c r="E31" s="298" t="s">
        <v>201</v>
      </c>
      <c r="F31" s="299">
        <v>0.4</v>
      </c>
      <c r="G31" s="299"/>
      <c r="H31" s="191"/>
      <c r="I31" s="187"/>
      <c r="J31" s="280"/>
    </row>
    <row r="32" spans="1:10" s="187" customFormat="1" x14ac:dyDescent="0.25">
      <c r="A32" s="282">
        <f t="shared" si="2"/>
        <v>6</v>
      </c>
      <c r="B32" s="283"/>
      <c r="C32" s="300" t="s">
        <v>253</v>
      </c>
      <c r="D32" s="189"/>
      <c r="E32" s="285" t="s">
        <v>219</v>
      </c>
      <c r="F32" s="286">
        <v>0.51</v>
      </c>
      <c r="G32" s="286"/>
      <c r="H32" s="191"/>
      <c r="I32" s="187"/>
      <c r="J32" s="280"/>
    </row>
    <row r="33" spans="1:10" s="187" customFormat="1" x14ac:dyDescent="0.25">
      <c r="A33" s="282">
        <f t="shared" si="2"/>
        <v>7</v>
      </c>
      <c r="B33" s="283"/>
      <c r="C33" s="301" t="s">
        <v>254</v>
      </c>
      <c r="D33" s="189"/>
      <c r="E33" s="285" t="s">
        <v>31</v>
      </c>
      <c r="F33" s="286">
        <v>0.88</v>
      </c>
      <c r="G33" s="302" t="s">
        <v>197</v>
      </c>
      <c r="H33" s="191"/>
      <c r="I33" s="187"/>
      <c r="J33" s="280"/>
    </row>
    <row r="34" ht="15.75" customHeight="1" spans="1:10" s="187" customFormat="1" x14ac:dyDescent="0.25">
      <c r="A34" s="282">
        <f t="shared" si="2"/>
        <v>8</v>
      </c>
      <c r="B34" s="283"/>
      <c r="C34" s="301" t="s">
        <v>179</v>
      </c>
      <c r="D34" s="189"/>
      <c r="E34" s="285" t="s">
        <v>179</v>
      </c>
      <c r="F34" s="286">
        <v>0</v>
      </c>
      <c r="G34" s="286">
        <f>G26-F26</f>
        <v>20.408522727272725</v>
      </c>
      <c r="H34" s="194"/>
      <c r="I34" s="195"/>
      <c r="J34" s="303"/>
    </row>
    <row r="35" ht="15.75" customHeight="1" spans="1:10" x14ac:dyDescent="0.25">
      <c r="A35" s="139" t="s">
        <v>238</v>
      </c>
      <c r="B35" s="265"/>
      <c r="C35" s="265"/>
      <c r="D35" s="265"/>
      <c r="E35" s="265"/>
      <c r="F35" s="265"/>
      <c r="G35" s="265"/>
      <c r="H35" s="265"/>
      <c r="I35" s="265"/>
      <c r="J35" s="266"/>
    </row>
    <row r="36" ht="44.25" customHeight="1" spans="1:10" x14ac:dyDescent="0.25">
      <c r="A36" s="308" t="s">
        <v>262</v>
      </c>
      <c r="B36" s="309"/>
      <c r="C36" s="309"/>
      <c r="D36" s="309"/>
      <c r="E36" s="309"/>
      <c r="F36" s="309"/>
      <c r="G36" s="309"/>
      <c r="H36" s="309"/>
      <c r="I36" s="310"/>
      <c r="J36" s="274" t="s">
        <v>182</v>
      </c>
    </row>
    <row r="37" spans="1:10" x14ac:dyDescent="0.25">
      <c r="A37" s="275" t="s">
        <v>183</v>
      </c>
      <c r="B37" s="276" t="s">
        <v>97</v>
      </c>
      <c r="C37" s="277" t="s">
        <v>184</v>
      </c>
      <c r="D37" s="186"/>
      <c r="E37" s="268" t="s">
        <v>185</v>
      </c>
      <c r="F37" s="278" t="s">
        <v>186</v>
      </c>
      <c r="G37" s="278" t="s">
        <v>187</v>
      </c>
      <c r="H37" s="279"/>
      <c r="I37" s="187"/>
      <c r="J37" s="280"/>
    </row>
    <row r="38" spans="1:10" x14ac:dyDescent="0.25">
      <c r="A38" s="282">
        <v>1</v>
      </c>
      <c r="B38" s="283"/>
      <c r="C38" s="166"/>
      <c r="D38" s="189"/>
      <c r="E38" s="285"/>
      <c r="F38" s="286">
        <f>SUM(F39:F44)</f>
        <v>5.43</v>
      </c>
      <c r="G38" s="286">
        <f>F38/0.25</f>
        <v>21.72</v>
      </c>
      <c r="H38" s="191"/>
      <c r="I38" s="187"/>
      <c r="J38" s="280"/>
    </row>
    <row r="39" spans="1:10" x14ac:dyDescent="0.25">
      <c r="A39" s="282">
        <f t="shared" ref="A39:A44" si="3">A38+1</f>
        <v>2</v>
      </c>
      <c r="B39" s="283"/>
      <c r="C39" s="311" t="s">
        <v>263</v>
      </c>
      <c r="D39" s="193"/>
      <c r="E39" s="285" t="s">
        <v>196</v>
      </c>
      <c r="F39" s="286">
        <f>10.16/16*4+0.65</f>
        <v>3.19</v>
      </c>
      <c r="G39" s="312">
        <v>0.25</v>
      </c>
      <c r="H39" s="191"/>
      <c r="I39" s="187"/>
      <c r="J39" s="280"/>
    </row>
    <row r="40" spans="1:10" x14ac:dyDescent="0.25">
      <c r="A40" s="282">
        <v>3</v>
      </c>
      <c r="B40" s="283"/>
      <c r="C40" s="313" t="s">
        <v>117</v>
      </c>
      <c r="D40" s="240"/>
      <c r="E40" s="285" t="s">
        <v>264</v>
      </c>
      <c r="F40" s="286">
        <v>0.25</v>
      </c>
      <c r="G40" s="286"/>
      <c r="H40" s="191"/>
      <c r="I40" s="187"/>
      <c r="J40" s="280"/>
    </row>
    <row r="41" spans="1:10" x14ac:dyDescent="0.25">
      <c r="A41" s="282">
        <f t="shared" si="3"/>
        <v>4</v>
      </c>
      <c r="B41" s="283"/>
      <c r="C41" s="239" t="s">
        <v>265</v>
      </c>
      <c r="D41" s="240"/>
      <c r="E41" s="159" t="s">
        <v>264</v>
      </c>
      <c r="F41" s="160">
        <v>0.25</v>
      </c>
      <c r="G41" s="286"/>
      <c r="H41" s="191"/>
      <c r="I41" s="187"/>
      <c r="J41" s="280"/>
    </row>
    <row r="42" spans="1:10" x14ac:dyDescent="0.25">
      <c r="A42" s="282">
        <f t="shared" si="3"/>
        <v>5</v>
      </c>
      <c r="B42" s="283"/>
      <c r="C42" s="166" t="s">
        <v>254</v>
      </c>
      <c r="D42" s="314"/>
      <c r="E42" s="285" t="s">
        <v>190</v>
      </c>
      <c r="F42" s="286">
        <v>0.88</v>
      </c>
      <c r="G42" s="286"/>
      <c r="H42" s="191"/>
      <c r="I42" s="187"/>
      <c r="J42" s="280"/>
    </row>
    <row r="43" spans="1:10" x14ac:dyDescent="0.25">
      <c r="A43" s="282">
        <f t="shared" si="3"/>
        <v>6</v>
      </c>
      <c r="B43" s="283"/>
      <c r="C43" s="313" t="s">
        <v>266</v>
      </c>
      <c r="D43" s="240"/>
      <c r="E43" s="285" t="s">
        <v>219</v>
      </c>
      <c r="F43" s="286">
        <v>0.51</v>
      </c>
      <c r="G43" s="302" t="s">
        <v>197</v>
      </c>
      <c r="H43" s="191"/>
      <c r="I43" s="187"/>
      <c r="J43" s="280"/>
    </row>
    <row r="44" ht="15.75" customHeight="1" spans="1:10" x14ac:dyDescent="0.25">
      <c r="A44" s="315">
        <f t="shared" si="3"/>
        <v>7</v>
      </c>
      <c r="B44" s="289"/>
      <c r="C44" s="316" t="s">
        <v>267</v>
      </c>
      <c r="D44" s="317"/>
      <c r="E44" s="291" t="s">
        <v>212</v>
      </c>
      <c r="F44" s="292">
        <v>0.35</v>
      </c>
      <c r="G44" s="292">
        <f>G38-F38</f>
        <v>16.29</v>
      </c>
      <c r="H44" s="191"/>
      <c r="I44" s="247"/>
      <c r="J44" s="280"/>
    </row>
    <row r="45" ht="15.75" customHeight="1" spans="1:10" x14ac:dyDescent="0.25">
      <c r="A45" s="139" t="s">
        <v>238</v>
      </c>
      <c r="B45" s="265"/>
      <c r="C45" s="265"/>
      <c r="D45" s="265"/>
      <c r="E45" s="265"/>
      <c r="F45" s="265"/>
      <c r="G45" s="265"/>
      <c r="H45" s="265"/>
      <c r="I45" s="265"/>
      <c r="J45" s="266"/>
    </row>
    <row r="46" ht="34.5" customHeight="1" spans="1:10" x14ac:dyDescent="0.25">
      <c r="A46" s="267" t="s">
        <v>268</v>
      </c>
      <c r="B46" s="318"/>
      <c r="C46" s="318"/>
      <c r="D46" s="318"/>
      <c r="E46" s="318"/>
      <c r="F46" s="318"/>
      <c r="G46" s="318"/>
      <c r="H46" s="318"/>
      <c r="I46" s="319"/>
      <c r="J46" s="145" t="s">
        <v>182</v>
      </c>
    </row>
    <row r="47" spans="1:10" x14ac:dyDescent="0.25">
      <c r="A47" s="146" t="s">
        <v>183</v>
      </c>
      <c r="B47" s="320" t="s">
        <v>97</v>
      </c>
      <c r="C47" s="185" t="s">
        <v>184</v>
      </c>
      <c r="D47" s="186"/>
      <c r="E47" s="268" t="s">
        <v>185</v>
      </c>
      <c r="F47" s="151" t="s">
        <v>186</v>
      </c>
      <c r="G47" s="151" t="s">
        <v>187</v>
      </c>
      <c r="H47" s="161"/>
      <c r="I47" s="187"/>
      <c r="J47" s="188"/>
    </row>
    <row r="48" spans="1:10" x14ac:dyDescent="0.25">
      <c r="A48" s="155">
        <v>1</v>
      </c>
      <c r="B48" s="321"/>
      <c r="C48" s="163"/>
      <c r="D48" s="156"/>
      <c r="E48" s="159"/>
      <c r="F48" s="160">
        <f>SUM(F49:F53)</f>
        <v>3.6375</v>
      </c>
      <c r="G48" s="160">
        <f>F48/0.2</f>
        <v>18.1875</v>
      </c>
      <c r="H48" s="191"/>
      <c r="I48" s="187"/>
      <c r="J48" s="188"/>
    </row>
    <row r="49" spans="1:10" x14ac:dyDescent="0.25">
      <c r="A49" s="155">
        <f>A48+1</f>
        <v>2</v>
      </c>
      <c r="B49" s="321"/>
      <c r="C49" s="163" t="s">
        <v>269</v>
      </c>
      <c r="D49" s="189"/>
      <c r="E49" s="159" t="s">
        <v>196</v>
      </c>
      <c r="F49" s="160">
        <f>6.99/16*4</f>
        <v>1.7475</v>
      </c>
      <c r="G49" s="165">
        <v>0.2</v>
      </c>
      <c r="H49" s="191"/>
      <c r="I49" s="187"/>
      <c r="J49" s="188"/>
    </row>
    <row r="50" spans="1:10" x14ac:dyDescent="0.25">
      <c r="A50" s="155">
        <f>A49+1</f>
        <v>3</v>
      </c>
      <c r="B50" s="321"/>
      <c r="C50" s="163" t="s">
        <v>270</v>
      </c>
      <c r="D50" s="189"/>
      <c r="E50" s="159" t="s">
        <v>264</v>
      </c>
      <c r="F50" s="160">
        <v>0.25</v>
      </c>
      <c r="G50" s="160"/>
      <c r="H50" s="191"/>
      <c r="I50" s="187"/>
      <c r="J50" s="188"/>
    </row>
    <row r="51" spans="1:10" x14ac:dyDescent="0.25">
      <c r="A51" s="155">
        <f>A50+1</f>
        <v>4</v>
      </c>
      <c r="B51" s="321"/>
      <c r="C51" s="163" t="s">
        <v>271</v>
      </c>
      <c r="D51" s="189"/>
      <c r="E51" s="159" t="s">
        <v>264</v>
      </c>
      <c r="F51" s="160">
        <v>0.25</v>
      </c>
      <c r="G51" s="160"/>
      <c r="H51" s="191"/>
      <c r="I51" s="187"/>
      <c r="J51" s="188"/>
    </row>
    <row r="52" spans="1:10" x14ac:dyDescent="0.25">
      <c r="A52" s="155">
        <v>5</v>
      </c>
      <c r="B52" s="321"/>
      <c r="C52" s="157" t="s">
        <v>254</v>
      </c>
      <c r="D52" s="314"/>
      <c r="E52" s="159" t="s">
        <v>190</v>
      </c>
      <c r="F52" s="160">
        <v>0.88</v>
      </c>
      <c r="G52" s="172" t="s">
        <v>197</v>
      </c>
      <c r="H52" s="191"/>
      <c r="I52" s="187"/>
      <c r="J52" s="188"/>
    </row>
    <row r="53" ht="15.75" customHeight="1" spans="1:10" x14ac:dyDescent="0.25">
      <c r="A53" s="255">
        <f>A52+1</f>
        <v>6</v>
      </c>
      <c r="B53" s="322"/>
      <c r="C53" s="323" t="s">
        <v>266</v>
      </c>
      <c r="D53" s="324"/>
      <c r="E53" s="259" t="s">
        <v>219</v>
      </c>
      <c r="F53" s="260">
        <v>0.51</v>
      </c>
      <c r="G53" s="260">
        <f>G48-F48</f>
        <v>14.55</v>
      </c>
      <c r="H53" s="261"/>
      <c r="I53" s="262"/>
      <c r="J53" s="263"/>
    </row>
    <row r="54" ht="15.75" customHeight="1" spans="1:10" x14ac:dyDescent="0.25">
      <c r="A54" s="139" t="s">
        <v>238</v>
      </c>
      <c r="B54" s="265"/>
      <c r="C54" s="265"/>
      <c r="D54" s="265"/>
      <c r="E54" s="265"/>
      <c r="F54" s="265"/>
      <c r="G54" s="265"/>
      <c r="H54" s="265"/>
      <c r="I54" s="265"/>
      <c r="J54" s="266"/>
    </row>
    <row r="55" ht="32.25" customHeight="1" spans="1:10" x14ac:dyDescent="0.25">
      <c r="A55" s="325" t="s">
        <v>272</v>
      </c>
      <c r="B55" s="326"/>
      <c r="C55" s="326"/>
      <c r="D55" s="326"/>
      <c r="E55" s="326"/>
      <c r="F55" s="326"/>
      <c r="G55" s="326"/>
      <c r="H55" s="326"/>
      <c r="I55" s="327"/>
      <c r="J55" s="145" t="s">
        <v>182</v>
      </c>
    </row>
    <row r="56" spans="1:10" x14ac:dyDescent="0.25">
      <c r="A56" s="146" t="s">
        <v>183</v>
      </c>
      <c r="B56" s="320" t="s">
        <v>97</v>
      </c>
      <c r="C56" s="185" t="s">
        <v>184</v>
      </c>
      <c r="D56" s="186"/>
      <c r="E56" s="268" t="s">
        <v>185</v>
      </c>
      <c r="F56" s="151" t="s">
        <v>186</v>
      </c>
      <c r="G56" s="151" t="s">
        <v>187</v>
      </c>
      <c r="H56" s="161"/>
      <c r="I56" s="187"/>
      <c r="J56" s="188"/>
    </row>
    <row r="57" spans="1:10" x14ac:dyDescent="0.25">
      <c r="A57" s="155">
        <v>1</v>
      </c>
      <c r="B57" s="321"/>
      <c r="C57" s="163"/>
      <c r="D57" s="156"/>
      <c r="E57" s="159"/>
      <c r="F57" s="160">
        <f>SUM(F58:F62)</f>
        <v>5.592499999999999</v>
      </c>
      <c r="G57" s="160">
        <f>F57/0.23</f>
        <v>24.315217391304344</v>
      </c>
      <c r="H57" s="191"/>
      <c r="I57" s="187"/>
      <c r="J57" s="188"/>
    </row>
    <row r="58" spans="1:10" x14ac:dyDescent="0.25">
      <c r="A58" s="155">
        <f>A57+1</f>
        <v>2</v>
      </c>
      <c r="B58" s="321"/>
      <c r="C58" s="163" t="s">
        <v>273</v>
      </c>
      <c r="D58" s="189"/>
      <c r="E58" s="159" t="s">
        <v>274</v>
      </c>
      <c r="F58" s="160">
        <f>4.99*1.5/2+0.75</f>
        <v>4.4925</v>
      </c>
      <c r="G58" s="165">
        <v>0.23</v>
      </c>
      <c r="H58" s="191"/>
      <c r="I58" s="187"/>
      <c r="J58" s="188"/>
    </row>
    <row r="59" spans="1:10" x14ac:dyDescent="0.25">
      <c r="A59" s="155">
        <f>A58+1</f>
        <v>3</v>
      </c>
      <c r="B59" s="321"/>
      <c r="C59" s="163" t="s">
        <v>275</v>
      </c>
      <c r="D59" s="189"/>
      <c r="E59" s="159" t="s">
        <v>196</v>
      </c>
      <c r="F59" s="160">
        <v>0.25</v>
      </c>
      <c r="G59" s="160"/>
      <c r="H59" s="191"/>
      <c r="I59" s="187"/>
      <c r="J59" s="188"/>
    </row>
    <row r="60" spans="1:10" x14ac:dyDescent="0.25">
      <c r="A60" s="155">
        <f>A59+1</f>
        <v>4</v>
      </c>
      <c r="B60" s="321"/>
      <c r="C60" s="163" t="s">
        <v>151</v>
      </c>
      <c r="D60" s="189"/>
      <c r="E60" s="159" t="s">
        <v>212</v>
      </c>
      <c r="F60" s="160">
        <v>0.25</v>
      </c>
      <c r="G60" s="160"/>
      <c r="H60" s="191"/>
      <c r="I60" s="187"/>
      <c r="J60" s="188"/>
    </row>
    <row r="61" spans="1:10" x14ac:dyDescent="0.25">
      <c r="A61" s="155">
        <v>5</v>
      </c>
      <c r="B61" s="321"/>
      <c r="C61" s="157" t="s">
        <v>252</v>
      </c>
      <c r="D61" s="314"/>
      <c r="E61" s="159" t="s">
        <v>264</v>
      </c>
      <c r="F61" s="160">
        <v>0.25</v>
      </c>
      <c r="G61" s="172" t="s">
        <v>197</v>
      </c>
      <c r="H61" s="191"/>
      <c r="I61" s="187"/>
      <c r="J61" s="188"/>
    </row>
    <row r="62" ht="15.75" customHeight="1" spans="1:10" x14ac:dyDescent="0.25">
      <c r="A62" s="255">
        <f>A61+1</f>
        <v>6</v>
      </c>
      <c r="B62" s="322"/>
      <c r="C62" s="328" t="s">
        <v>267</v>
      </c>
      <c r="D62" s="329"/>
      <c r="E62" s="259" t="s">
        <v>212</v>
      </c>
      <c r="F62" s="260">
        <v>0.35</v>
      </c>
      <c r="G62" s="260">
        <f>G57-F57</f>
        <v>18.722717391304343</v>
      </c>
      <c r="H62" s="261"/>
      <c r="I62" s="262"/>
      <c r="J62" s="263"/>
    </row>
    <row r="63" ht="15.75" customHeight="1" spans="1:10" x14ac:dyDescent="0.25">
      <c r="A63" s="139" t="s">
        <v>238</v>
      </c>
      <c r="B63" s="265"/>
      <c r="C63" s="265"/>
      <c r="D63" s="265"/>
      <c r="E63" s="265"/>
      <c r="F63" s="265"/>
      <c r="G63" s="265"/>
      <c r="H63" s="265"/>
      <c r="I63" s="265"/>
      <c r="J63" s="266"/>
    </row>
    <row r="64" ht="28.5" customHeight="1" spans="1:10" x14ac:dyDescent="0.25">
      <c r="A64" s="330" t="s">
        <v>276</v>
      </c>
      <c r="B64" s="331"/>
      <c r="C64" s="331"/>
      <c r="D64" s="331"/>
      <c r="E64" s="331"/>
      <c r="F64" s="331"/>
      <c r="G64" s="331"/>
      <c r="H64" s="331"/>
      <c r="I64" s="332"/>
      <c r="J64" s="145" t="s">
        <v>182</v>
      </c>
    </row>
    <row r="65" spans="1:10" x14ac:dyDescent="0.25">
      <c r="A65" s="146" t="s">
        <v>183</v>
      </c>
      <c r="B65" s="320" t="s">
        <v>97</v>
      </c>
      <c r="C65" s="185" t="s">
        <v>184</v>
      </c>
      <c r="D65" s="186"/>
      <c r="E65" s="268" t="s">
        <v>185</v>
      </c>
      <c r="F65" s="151" t="s">
        <v>186</v>
      </c>
      <c r="G65" s="151" t="s">
        <v>187</v>
      </c>
      <c r="H65" s="161"/>
      <c r="I65" s="187"/>
      <c r="J65" s="188"/>
    </row>
    <row r="66" spans="1:10" x14ac:dyDescent="0.25">
      <c r="A66" s="155">
        <v>1</v>
      </c>
      <c r="B66" s="321"/>
      <c r="C66" s="163"/>
      <c r="D66" s="156"/>
      <c r="E66" s="159"/>
      <c r="F66" s="160">
        <f>SUM(F67:F71)</f>
        <v>4.6625</v>
      </c>
      <c r="G66" s="160">
        <f>F66/0.23</f>
        <v>20.27173913043478</v>
      </c>
      <c r="H66" s="191"/>
      <c r="I66" s="187"/>
      <c r="J66" s="188"/>
    </row>
    <row r="67" spans="1:10" x14ac:dyDescent="0.25">
      <c r="A67" s="155">
        <f>A66+1</f>
        <v>2</v>
      </c>
      <c r="B67" s="321"/>
      <c r="C67" s="163" t="s">
        <v>277</v>
      </c>
      <c r="D67" s="189"/>
      <c r="E67" s="159" t="s">
        <v>219</v>
      </c>
      <c r="F67" s="160">
        <f>5.74/16*6+0.25</f>
        <v>2.4025</v>
      </c>
      <c r="G67" s="165">
        <v>0.23</v>
      </c>
      <c r="H67" s="191"/>
      <c r="I67" s="187"/>
      <c r="J67" s="188"/>
    </row>
    <row r="68" spans="1:10" x14ac:dyDescent="0.25">
      <c r="A68" s="155">
        <f>A67+1</f>
        <v>3</v>
      </c>
      <c r="B68" s="321"/>
      <c r="C68" s="333" t="s">
        <v>278</v>
      </c>
      <c r="D68" s="334"/>
      <c r="E68" s="159" t="s">
        <v>196</v>
      </c>
      <c r="F68" s="160">
        <v>1.25</v>
      </c>
      <c r="G68" s="160"/>
      <c r="H68" s="191"/>
      <c r="I68" s="187"/>
      <c r="J68" s="188"/>
    </row>
    <row r="69" spans="1:10" x14ac:dyDescent="0.25">
      <c r="A69" s="155">
        <f>A68+1</f>
        <v>4</v>
      </c>
      <c r="B69" s="321"/>
      <c r="C69" s="163" t="s">
        <v>279</v>
      </c>
      <c r="D69" s="189"/>
      <c r="E69" s="159" t="s">
        <v>212</v>
      </c>
      <c r="F69" s="160">
        <v>0.25</v>
      </c>
      <c r="G69" s="160"/>
      <c r="H69" s="191"/>
      <c r="I69" s="187"/>
      <c r="J69" s="188"/>
    </row>
    <row r="70" spans="1:10" x14ac:dyDescent="0.25">
      <c r="A70" s="155">
        <v>5</v>
      </c>
      <c r="B70" s="321"/>
      <c r="C70" s="157" t="s">
        <v>252</v>
      </c>
      <c r="D70" s="314"/>
      <c r="E70" s="159" t="s">
        <v>264</v>
      </c>
      <c r="F70" s="160">
        <v>0.25</v>
      </c>
      <c r="G70" s="172" t="s">
        <v>197</v>
      </c>
      <c r="H70" s="191"/>
      <c r="I70" s="187"/>
      <c r="J70" s="188"/>
    </row>
    <row r="71" ht="15.75" customHeight="1" spans="1:10" x14ac:dyDescent="0.25">
      <c r="A71" s="255">
        <f>A70+1</f>
        <v>6</v>
      </c>
      <c r="B71" s="322"/>
      <c r="C71" s="335" t="s">
        <v>266</v>
      </c>
      <c r="D71" s="258"/>
      <c r="E71" s="259" t="s">
        <v>219</v>
      </c>
      <c r="F71" s="260">
        <v>0.51</v>
      </c>
      <c r="G71" s="260">
        <f>G66-F66</f>
        <v>15.609239130434782</v>
      </c>
      <c r="H71" s="261"/>
      <c r="I71" s="262"/>
      <c r="J71" s="263"/>
    </row>
    <row r="72" ht="15.75" customHeight="1" spans="1:10" x14ac:dyDescent="0.25">
      <c r="A72" s="139" t="s">
        <v>280</v>
      </c>
      <c r="B72" s="265"/>
      <c r="C72" s="265"/>
      <c r="D72" s="265"/>
      <c r="E72" s="265"/>
      <c r="F72" s="265"/>
      <c r="G72" s="265"/>
      <c r="H72" s="265"/>
      <c r="I72" s="265"/>
      <c r="J72" s="266"/>
    </row>
    <row r="73" ht="15.75" customHeight="1" spans="1:10" x14ac:dyDescent="0.25">
      <c r="A73" s="330" t="s">
        <v>281</v>
      </c>
      <c r="B73" s="331"/>
      <c r="C73" s="331"/>
      <c r="D73" s="331"/>
      <c r="E73" s="331"/>
      <c r="F73" s="331"/>
      <c r="G73" s="331"/>
      <c r="H73" s="331"/>
      <c r="I73" s="332"/>
      <c r="J73" s="145" t="s">
        <v>182</v>
      </c>
    </row>
    <row r="74" spans="1:10" x14ac:dyDescent="0.25">
      <c r="A74" s="146" t="s">
        <v>183</v>
      </c>
      <c r="B74" s="320" t="s">
        <v>97</v>
      </c>
      <c r="C74" s="185" t="s">
        <v>184</v>
      </c>
      <c r="D74" s="186"/>
      <c r="E74" s="268" t="s">
        <v>185</v>
      </c>
      <c r="F74" s="151" t="s">
        <v>186</v>
      </c>
      <c r="G74" s="151" t="s">
        <v>187</v>
      </c>
      <c r="H74" s="161"/>
      <c r="I74" s="187"/>
      <c r="J74" s="188"/>
    </row>
    <row r="75" spans="1:10" x14ac:dyDescent="0.25">
      <c r="A75" s="155">
        <v>1</v>
      </c>
      <c r="B75" s="321"/>
      <c r="C75" s="163"/>
      <c r="D75" s="156"/>
      <c r="E75" s="159"/>
      <c r="F75" s="160">
        <f>SUM(F76:F80)</f>
        <v>4.6625</v>
      </c>
      <c r="G75" s="160">
        <f>F75/0.23</f>
        <v>20.27173913043478</v>
      </c>
      <c r="H75" s="191"/>
      <c r="I75" s="187"/>
      <c r="J75" s="188"/>
    </row>
    <row r="76" spans="1:10" x14ac:dyDescent="0.25">
      <c r="A76" s="155">
        <f>A75+1</f>
        <v>2</v>
      </c>
      <c r="B76" s="321"/>
      <c r="C76" s="163" t="s">
        <v>282</v>
      </c>
      <c r="D76" s="189"/>
      <c r="E76" s="159"/>
      <c r="F76" s="160">
        <f>5.74/16*6+0.25</f>
        <v>2.4025</v>
      </c>
      <c r="G76" s="165">
        <v>0.23</v>
      </c>
      <c r="H76" s="191"/>
      <c r="I76" s="187"/>
      <c r="J76" s="188"/>
    </row>
    <row r="77" spans="1:10" x14ac:dyDescent="0.25">
      <c r="A77" s="155">
        <f>A76+1</f>
        <v>3</v>
      </c>
      <c r="B77" s="321"/>
      <c r="C77" s="333" t="s">
        <v>283</v>
      </c>
      <c r="D77" s="334"/>
      <c r="E77" s="159"/>
      <c r="F77" s="160">
        <v>1.25</v>
      </c>
      <c r="G77" s="160"/>
      <c r="H77" s="191"/>
      <c r="I77" s="187"/>
      <c r="J77" s="188"/>
    </row>
    <row r="78" spans="1:10" x14ac:dyDescent="0.25">
      <c r="A78" s="155">
        <f>A77+1</f>
        <v>4</v>
      </c>
      <c r="B78" s="321"/>
      <c r="C78" s="163"/>
      <c r="D78" s="189"/>
      <c r="E78" s="159"/>
      <c r="F78" s="160">
        <v>0.25</v>
      </c>
      <c r="G78" s="160"/>
      <c r="H78" s="191"/>
      <c r="I78" s="187"/>
      <c r="J78" s="188"/>
    </row>
    <row r="79" spans="1:10" x14ac:dyDescent="0.25">
      <c r="A79" s="155">
        <v>5</v>
      </c>
      <c r="B79" s="321"/>
      <c r="C79" s="157"/>
      <c r="D79" s="314"/>
      <c r="E79" s="159"/>
      <c r="F79" s="160">
        <v>0.25</v>
      </c>
      <c r="G79" s="172" t="s">
        <v>197</v>
      </c>
      <c r="H79" s="191"/>
      <c r="I79" s="187"/>
      <c r="J79" s="188"/>
    </row>
    <row r="80" ht="15.75" customHeight="1" spans="1:10" x14ac:dyDescent="0.25">
      <c r="A80" s="255">
        <f>A79+1</f>
        <v>6</v>
      </c>
      <c r="B80" s="322"/>
      <c r="C80" s="335"/>
      <c r="D80" s="258"/>
      <c r="E80" s="259"/>
      <c r="F80" s="260">
        <v>0.51</v>
      </c>
      <c r="G80" s="260">
        <f>G75-F75</f>
        <v>15.609239130434782</v>
      </c>
      <c r="H80" s="261"/>
      <c r="I80" s="262"/>
      <c r="J80" s="263"/>
    </row>
  </sheetData>
  <mergeCells count="88">
    <mergeCell ref="A1:J1"/>
    <mergeCell ref="A2:I2"/>
    <mergeCell ref="C3:D3"/>
    <mergeCell ref="H3:J11"/>
    <mergeCell ref="C4:D4"/>
    <mergeCell ref="C5:D5"/>
    <mergeCell ref="C6:D6"/>
    <mergeCell ref="C7:D7"/>
    <mergeCell ref="C8:D8"/>
    <mergeCell ref="C9:D9"/>
    <mergeCell ref="C10:D10"/>
    <mergeCell ref="C11:D11"/>
    <mergeCell ref="A12:J12"/>
    <mergeCell ref="A13:I13"/>
    <mergeCell ref="C14:D14"/>
    <mergeCell ref="H14:J22"/>
    <mergeCell ref="C15:D15"/>
    <mergeCell ref="C16:D16"/>
    <mergeCell ref="C17:D17"/>
    <mergeCell ref="C18:D18"/>
    <mergeCell ref="C19:D19"/>
    <mergeCell ref="C20:D20"/>
    <mergeCell ref="C21:D21"/>
    <mergeCell ref="C22:D22"/>
    <mergeCell ref="A23:J23"/>
    <mergeCell ref="A24:I24"/>
    <mergeCell ref="C25:D25"/>
    <mergeCell ref="H25:J34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A35:J35"/>
    <mergeCell ref="A36:I36"/>
    <mergeCell ref="C37:D37"/>
    <mergeCell ref="H37:J44"/>
    <mergeCell ref="C38:D38"/>
    <mergeCell ref="C39:D39"/>
    <mergeCell ref="C40:D40"/>
    <mergeCell ref="C41:D41"/>
    <mergeCell ref="C42:D42"/>
    <mergeCell ref="C43:D43"/>
    <mergeCell ref="C44:D44"/>
    <mergeCell ref="A45:J45"/>
    <mergeCell ref="A46:I46"/>
    <mergeCell ref="C47:D47"/>
    <mergeCell ref="H47:J53"/>
    <mergeCell ref="C48:D48"/>
    <mergeCell ref="C49:D49"/>
    <mergeCell ref="C50:D50"/>
    <mergeCell ref="C51:D51"/>
    <mergeCell ref="C52:D52"/>
    <mergeCell ref="C53:D53"/>
    <mergeCell ref="A54:J54"/>
    <mergeCell ref="A55:I55"/>
    <mergeCell ref="C56:D56"/>
    <mergeCell ref="H56:J62"/>
    <mergeCell ref="C57:D57"/>
    <mergeCell ref="C58:D58"/>
    <mergeCell ref="C59:D59"/>
    <mergeCell ref="C60:D60"/>
    <mergeCell ref="C61:D61"/>
    <mergeCell ref="C62:D62"/>
    <mergeCell ref="A63:J63"/>
    <mergeCell ref="A64:I64"/>
    <mergeCell ref="C65:D65"/>
    <mergeCell ref="H65:J71"/>
    <mergeCell ref="C66:D66"/>
    <mergeCell ref="C67:D67"/>
    <mergeCell ref="C68:D68"/>
    <mergeCell ref="C69:D69"/>
    <mergeCell ref="C70:D70"/>
    <mergeCell ref="C71:D71"/>
    <mergeCell ref="A72:J72"/>
    <mergeCell ref="A73:I73"/>
    <mergeCell ref="C74:D74"/>
    <mergeCell ref="H74:J80"/>
    <mergeCell ref="C75:D75"/>
    <mergeCell ref="C76:D76"/>
    <mergeCell ref="C77:D77"/>
    <mergeCell ref="C78:D78"/>
    <mergeCell ref="C79:D79"/>
    <mergeCell ref="C80:D80"/>
  </mergeCells>
  <pageMargins left="0.7" right="0.7" top="0.75" bottom="0.75" header="0.3" footer="0.3"/>
  <pageSetup orientation="portrait" horizontalDpi="4294967295" verticalDpi="4294967295" scale="80" fitToWidth="1" fitToHeight="1" firstPageNumber="1" useFirstPageNumber="1" copies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R26"/>
  <sheetViews>
    <sheetView workbookViewId="0" zoomScale="100" zoomScaleNormal="100">
      <selection activeCell="A6" sqref="A6"/>
    </sheetView>
  </sheetViews>
  <sheetFormatPr defaultRowHeight="15" outlineLevelRow="0" outlineLevelCol="0" x14ac:dyDescent="0.2"/>
  <cols>
    <col min="1" max="1" width="6.45703125" customWidth="1"/>
    <col min="2" max="2" width="11.296875" customWidth="1"/>
    <col min="3" max="3" width="33.2265625" customWidth="1"/>
    <col min="4" max="4" width="10.22265625" customWidth="1"/>
  </cols>
  <sheetData>
    <row r="1" ht="18.75" customHeight="1" spans="1:18" x14ac:dyDescent="0.25">
      <c r="A1" s="115" t="s">
        <v>153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7"/>
    </row>
    <row r="2" spans="1:18" x14ac:dyDescent="0.25">
      <c r="A2" s="118" t="s">
        <v>96</v>
      </c>
      <c r="B2" s="119" t="s">
        <v>98</v>
      </c>
      <c r="C2" s="120" t="s">
        <v>154</v>
      </c>
      <c r="D2" s="120" t="s">
        <v>155</v>
      </c>
      <c r="E2" s="121" t="s">
        <v>156</v>
      </c>
      <c r="F2" s="121"/>
      <c r="G2" s="121" t="s">
        <v>8</v>
      </c>
      <c r="H2" s="121"/>
      <c r="I2" s="121" t="s">
        <v>157</v>
      </c>
      <c r="J2" s="121"/>
      <c r="K2" s="121" t="s">
        <v>9</v>
      </c>
      <c r="L2" s="121"/>
      <c r="M2" s="121" t="s">
        <v>158</v>
      </c>
      <c r="N2" s="121"/>
      <c r="O2" s="121" t="s">
        <v>159</v>
      </c>
      <c r="P2" s="121"/>
      <c r="Q2" s="121" t="s">
        <v>159</v>
      </c>
      <c r="R2" s="122"/>
    </row>
    <row r="3" spans="1:18" x14ac:dyDescent="0.25">
      <c r="A3" s="118"/>
      <c r="B3" s="119"/>
      <c r="C3" s="120"/>
      <c r="D3" s="120"/>
      <c r="E3" s="123" t="s">
        <v>11</v>
      </c>
      <c r="F3" s="123" t="s">
        <v>12</v>
      </c>
      <c r="G3" s="123" t="s">
        <v>11</v>
      </c>
      <c r="H3" s="123" t="s">
        <v>12</v>
      </c>
      <c r="I3" s="123" t="s">
        <v>11</v>
      </c>
      <c r="J3" s="123" t="s">
        <v>12</v>
      </c>
      <c r="K3" s="123" t="s">
        <v>11</v>
      </c>
      <c r="L3" s="123" t="s">
        <v>12</v>
      </c>
      <c r="M3" s="123" t="s">
        <v>11</v>
      </c>
      <c r="N3" s="123" t="s">
        <v>12</v>
      </c>
      <c r="O3" s="123" t="s">
        <v>11</v>
      </c>
      <c r="P3" s="123" t="s">
        <v>12</v>
      </c>
      <c r="Q3" s="123" t="s">
        <v>11</v>
      </c>
      <c r="R3" s="124" t="s">
        <v>12</v>
      </c>
    </row>
    <row r="4" spans="1:18" x14ac:dyDescent="0.25">
      <c r="A4" s="125">
        <v>1</v>
      </c>
      <c r="B4" s="126" t="s">
        <v>103</v>
      </c>
      <c r="C4" s="21" t="s">
        <v>105</v>
      </c>
      <c r="D4" s="21" t="s">
        <v>160</v>
      </c>
      <c r="E4" s="25"/>
      <c r="F4" s="25"/>
      <c r="G4" s="24"/>
      <c r="H4" s="24"/>
      <c r="I4" s="25"/>
      <c r="J4" s="25"/>
      <c r="K4" s="127"/>
      <c r="L4" s="127"/>
      <c r="M4" s="21"/>
      <c r="N4" s="21"/>
      <c r="O4" s="127"/>
      <c r="P4" s="127"/>
      <c r="Q4" s="25"/>
      <c r="R4" s="26"/>
    </row>
    <row r="5" spans="1:18" x14ac:dyDescent="0.25">
      <c r="A5" s="125">
        <f t="shared" ref="A5:A26" si="0">A4+1</f>
        <v>2</v>
      </c>
      <c r="B5" s="126" t="s">
        <v>108</v>
      </c>
      <c r="C5" s="21" t="s">
        <v>109</v>
      </c>
      <c r="D5" s="128" t="s">
        <v>161</v>
      </c>
      <c r="E5" s="25"/>
      <c r="F5" s="25"/>
      <c r="G5" s="24"/>
      <c r="H5" s="24"/>
      <c r="I5" s="25"/>
      <c r="J5" s="25"/>
      <c r="K5" s="127"/>
      <c r="L5" s="127"/>
      <c r="M5" s="21"/>
      <c r="N5" s="21"/>
      <c r="O5" s="127"/>
      <c r="P5" s="127"/>
      <c r="Q5" s="25"/>
      <c r="R5" s="26"/>
    </row>
    <row r="6" spans="1:18" x14ac:dyDescent="0.25">
      <c r="A6" s="125">
        <f t="shared" si="0"/>
        <v>3</v>
      </c>
      <c r="B6" s="126" t="s">
        <v>112</v>
      </c>
      <c r="C6" s="21" t="s">
        <v>113</v>
      </c>
      <c r="D6" s="128" t="s">
        <v>162</v>
      </c>
      <c r="E6" s="25"/>
      <c r="F6" s="25"/>
      <c r="G6" s="24"/>
      <c r="H6" s="24"/>
      <c r="I6" s="25"/>
      <c r="J6" s="25"/>
      <c r="K6" s="127"/>
      <c r="L6" s="127"/>
      <c r="M6" s="21"/>
      <c r="N6" s="21"/>
      <c r="O6" s="127"/>
      <c r="P6" s="127"/>
      <c r="Q6" s="25"/>
      <c r="R6" s="26"/>
    </row>
    <row r="7" spans="1:18" x14ac:dyDescent="0.25">
      <c r="A7" s="125">
        <f t="shared" si="0"/>
        <v>4</v>
      </c>
      <c r="B7" s="126" t="s">
        <v>115</v>
      </c>
      <c r="C7" s="21" t="s">
        <v>117</v>
      </c>
      <c r="D7" s="129" t="s">
        <v>163</v>
      </c>
      <c r="E7" s="21"/>
      <c r="F7" s="21"/>
      <c r="G7" s="24"/>
      <c r="H7" s="24"/>
      <c r="I7" s="25"/>
      <c r="J7" s="25"/>
      <c r="K7" s="130"/>
      <c r="L7" s="130"/>
      <c r="M7" s="21"/>
      <c r="N7" s="21"/>
      <c r="O7" s="127"/>
      <c r="P7" s="127"/>
      <c r="Q7" s="25"/>
      <c r="R7" s="26"/>
    </row>
    <row r="8" spans="1:18" x14ac:dyDescent="0.25">
      <c r="A8" s="125">
        <f t="shared" si="0"/>
        <v>5</v>
      </c>
      <c r="B8" s="126" t="s">
        <v>115</v>
      </c>
      <c r="C8" s="21" t="s">
        <v>164</v>
      </c>
      <c r="D8" s="21" t="s">
        <v>165</v>
      </c>
      <c r="E8" s="21"/>
      <c r="F8" s="21"/>
      <c r="G8" s="24"/>
      <c r="H8" s="24"/>
      <c r="I8" s="25"/>
      <c r="J8" s="25"/>
      <c r="K8" s="130"/>
      <c r="L8" s="130"/>
      <c r="M8" s="21"/>
      <c r="N8" s="21"/>
      <c r="O8" s="127"/>
      <c r="P8" s="127"/>
      <c r="Q8" s="25"/>
      <c r="R8" s="26"/>
    </row>
    <row r="9" spans="1:18" x14ac:dyDescent="0.25">
      <c r="A9" s="125">
        <f t="shared" si="0"/>
        <v>6</v>
      </c>
      <c r="B9" s="126" t="s">
        <v>115</v>
      </c>
      <c r="C9" s="131" t="s">
        <v>166</v>
      </c>
      <c r="D9" s="21" t="s">
        <v>167</v>
      </c>
      <c r="E9" s="21"/>
      <c r="F9" s="21"/>
      <c r="G9" s="24"/>
      <c r="H9" s="24"/>
      <c r="I9" s="25"/>
      <c r="J9" s="25"/>
      <c r="K9" s="130"/>
      <c r="L9" s="130"/>
      <c r="M9" s="21"/>
      <c r="N9" s="21"/>
      <c r="O9" s="127"/>
      <c r="P9" s="127"/>
      <c r="Q9" s="25"/>
      <c r="R9" s="26"/>
    </row>
    <row r="10" spans="1:18" x14ac:dyDescent="0.25">
      <c r="A10" s="125">
        <f t="shared" si="0"/>
        <v>7</v>
      </c>
      <c r="B10" s="126" t="s">
        <v>119</v>
      </c>
      <c r="C10" s="21" t="s">
        <v>121</v>
      </c>
      <c r="D10" s="21" t="s">
        <v>160</v>
      </c>
      <c r="E10" s="21"/>
      <c r="F10" s="21"/>
      <c r="G10" s="24"/>
      <c r="H10" s="24"/>
      <c r="I10" s="25"/>
      <c r="J10" s="25"/>
      <c r="K10" s="130"/>
      <c r="L10" s="130"/>
      <c r="M10" s="21"/>
      <c r="N10" s="21"/>
      <c r="O10" s="127"/>
      <c r="P10" s="127"/>
      <c r="Q10" s="25"/>
      <c r="R10" s="26"/>
    </row>
    <row r="11" spans="1:18" x14ac:dyDescent="0.25">
      <c r="A11" s="125">
        <f t="shared" si="0"/>
        <v>8</v>
      </c>
      <c r="B11" s="126" t="s">
        <v>123</v>
      </c>
      <c r="C11" s="21" t="s">
        <v>124</v>
      </c>
      <c r="D11" s="21" t="s">
        <v>168</v>
      </c>
      <c r="E11" s="21"/>
      <c r="F11" s="21"/>
      <c r="G11" s="24"/>
      <c r="H11" s="24"/>
      <c r="I11" s="25"/>
      <c r="J11" s="25"/>
      <c r="K11" s="130"/>
      <c r="L11" s="130"/>
      <c r="M11" s="21"/>
      <c r="N11" s="21"/>
      <c r="O11" s="127"/>
      <c r="P11" s="127"/>
      <c r="Q11" s="25"/>
      <c r="R11" s="26"/>
    </row>
    <row r="12" spans="1:18" x14ac:dyDescent="0.25">
      <c r="A12" s="125">
        <f t="shared" si="0"/>
        <v>9</v>
      </c>
      <c r="B12" s="126" t="s">
        <v>123</v>
      </c>
      <c r="C12" s="21" t="s">
        <v>126</v>
      </c>
      <c r="D12" s="21" t="s">
        <v>169</v>
      </c>
      <c r="E12" s="21"/>
      <c r="F12" s="21"/>
      <c r="G12" s="24"/>
      <c r="H12" s="24"/>
      <c r="I12" s="25"/>
      <c r="J12" s="25"/>
      <c r="K12" s="130"/>
      <c r="L12" s="130"/>
      <c r="M12" s="21"/>
      <c r="N12" s="21"/>
      <c r="O12" s="127"/>
      <c r="P12" s="127"/>
      <c r="Q12" s="25"/>
      <c r="R12" s="26"/>
    </row>
    <row r="13" spans="1:18" x14ac:dyDescent="0.25">
      <c r="A13" s="125">
        <f t="shared" si="0"/>
        <v>10</v>
      </c>
      <c r="B13" s="126" t="s">
        <v>115</v>
      </c>
      <c r="C13" s="129" t="s">
        <v>129</v>
      </c>
      <c r="D13" s="128" t="s">
        <v>170</v>
      </c>
      <c r="E13" s="21"/>
      <c r="F13" s="21"/>
      <c r="G13" s="24"/>
      <c r="H13" s="24"/>
      <c r="I13" s="25"/>
      <c r="J13" s="25"/>
      <c r="K13" s="130"/>
      <c r="L13" s="130"/>
      <c r="M13" s="21"/>
      <c r="N13" s="21"/>
      <c r="O13" s="127"/>
      <c r="P13" s="127"/>
      <c r="Q13" s="25"/>
      <c r="R13" s="26"/>
    </row>
    <row r="14" spans="1:18" x14ac:dyDescent="0.25">
      <c r="A14" s="125">
        <f t="shared" si="0"/>
        <v>11</v>
      </c>
      <c r="B14" s="126" t="s">
        <v>131</v>
      </c>
      <c r="C14" s="21" t="s">
        <v>132</v>
      </c>
      <c r="D14" s="21" t="s">
        <v>171</v>
      </c>
      <c r="E14" s="21"/>
      <c r="F14" s="21"/>
      <c r="G14" s="24"/>
      <c r="H14" s="24"/>
      <c r="I14" s="25"/>
      <c r="J14" s="25"/>
      <c r="K14" s="130"/>
      <c r="L14" s="130"/>
      <c r="M14" s="21"/>
      <c r="N14" s="21"/>
      <c r="O14" s="127"/>
      <c r="P14" s="127"/>
      <c r="Q14" s="25"/>
      <c r="R14" s="26"/>
    </row>
    <row r="15" spans="1:18" x14ac:dyDescent="0.25">
      <c r="A15" s="125">
        <f t="shared" si="0"/>
        <v>12</v>
      </c>
      <c r="B15" s="126" t="s">
        <v>112</v>
      </c>
      <c r="C15" s="21" t="s">
        <v>134</v>
      </c>
      <c r="D15" s="21" t="s">
        <v>171</v>
      </c>
      <c r="E15" s="21"/>
      <c r="F15" s="21"/>
      <c r="G15" s="24"/>
      <c r="H15" s="24"/>
      <c r="I15" s="25"/>
      <c r="J15" s="25"/>
      <c r="K15" s="130"/>
      <c r="L15" s="130"/>
      <c r="M15" s="21"/>
      <c r="N15" s="21"/>
      <c r="O15" s="127"/>
      <c r="P15" s="127"/>
      <c r="Q15" s="25"/>
      <c r="R15" s="26"/>
    </row>
    <row r="16" spans="1:18" x14ac:dyDescent="0.25">
      <c r="A16" s="125">
        <f t="shared" si="0"/>
        <v>13</v>
      </c>
      <c r="B16" s="126" t="s">
        <v>119</v>
      </c>
      <c r="C16" s="101" t="s">
        <v>172</v>
      </c>
      <c r="D16" s="21" t="s">
        <v>162</v>
      </c>
      <c r="E16" s="21"/>
      <c r="F16" s="21"/>
      <c r="G16" s="24"/>
      <c r="H16" s="24"/>
      <c r="I16" s="25"/>
      <c r="J16" s="25"/>
      <c r="K16" s="130"/>
      <c r="L16" s="130"/>
      <c r="M16" s="21"/>
      <c r="N16" s="21"/>
      <c r="O16" s="127"/>
      <c r="P16" s="127"/>
      <c r="Q16" s="25"/>
      <c r="R16" s="26"/>
    </row>
    <row r="17" spans="1:18" x14ac:dyDescent="0.25">
      <c r="A17" s="125">
        <f t="shared" si="0"/>
        <v>14</v>
      </c>
      <c r="B17" s="126" t="s">
        <v>103</v>
      </c>
      <c r="C17" s="101" t="s">
        <v>135</v>
      </c>
      <c r="D17" s="21" t="s">
        <v>163</v>
      </c>
      <c r="E17" s="21"/>
      <c r="F17" s="21"/>
      <c r="G17" s="24"/>
      <c r="H17" s="24"/>
      <c r="I17" s="25"/>
      <c r="J17" s="25"/>
      <c r="K17" s="130"/>
      <c r="L17" s="130"/>
      <c r="M17" s="21"/>
      <c r="N17" s="21"/>
      <c r="O17" s="127"/>
      <c r="P17" s="127"/>
      <c r="Q17" s="25"/>
      <c r="R17" s="26"/>
    </row>
    <row r="18" spans="1:18" x14ac:dyDescent="0.25">
      <c r="A18" s="125">
        <f t="shared" si="0"/>
        <v>15</v>
      </c>
      <c r="B18" s="126" t="s">
        <v>115</v>
      </c>
      <c r="C18" s="101" t="s">
        <v>137</v>
      </c>
      <c r="D18" s="21" t="s">
        <v>171</v>
      </c>
      <c r="E18" s="21"/>
      <c r="F18" s="21"/>
      <c r="G18" s="24"/>
      <c r="H18" s="24"/>
      <c r="I18" s="25"/>
      <c r="J18" s="25"/>
      <c r="K18" s="130"/>
      <c r="L18" s="130"/>
      <c r="M18" s="21"/>
      <c r="N18" s="21"/>
      <c r="O18" s="127"/>
      <c r="P18" s="127"/>
      <c r="Q18" s="25"/>
      <c r="R18" s="26"/>
    </row>
    <row r="19" spans="1:18" x14ac:dyDescent="0.25">
      <c r="A19" s="125">
        <f t="shared" si="0"/>
        <v>16</v>
      </c>
      <c r="B19" s="126" t="s">
        <v>115</v>
      </c>
      <c r="C19" s="101" t="s">
        <v>138</v>
      </c>
      <c r="D19" s="21" t="s">
        <v>165</v>
      </c>
      <c r="E19" s="21"/>
      <c r="F19" s="21"/>
      <c r="G19" s="24"/>
      <c r="H19" s="24"/>
      <c r="I19" s="25"/>
      <c r="J19" s="25"/>
      <c r="K19" s="130"/>
      <c r="L19" s="130"/>
      <c r="M19" s="21"/>
      <c r="N19" s="21"/>
      <c r="O19" s="127"/>
      <c r="P19" s="127"/>
      <c r="Q19" s="25"/>
      <c r="R19" s="26"/>
    </row>
    <row r="20" spans="1:18" x14ac:dyDescent="0.25">
      <c r="A20" s="125">
        <f t="shared" si="0"/>
        <v>17</v>
      </c>
      <c r="B20" s="126" t="s">
        <v>115</v>
      </c>
      <c r="C20" s="101" t="s">
        <v>173</v>
      </c>
      <c r="D20" s="21" t="s">
        <v>174</v>
      </c>
      <c r="E20" s="21"/>
      <c r="F20" s="21"/>
      <c r="G20" s="24"/>
      <c r="H20" s="24"/>
      <c r="I20" s="25"/>
      <c r="J20" s="25"/>
      <c r="K20" s="130"/>
      <c r="L20" s="130"/>
      <c r="M20" s="21"/>
      <c r="N20" s="21"/>
      <c r="O20" s="127"/>
      <c r="P20" s="127"/>
      <c r="Q20" s="25"/>
      <c r="R20" s="26"/>
    </row>
    <row r="21" spans="1:18" x14ac:dyDescent="0.25">
      <c r="A21" s="125">
        <f t="shared" si="0"/>
        <v>18</v>
      </c>
      <c r="B21" s="126" t="s">
        <v>119</v>
      </c>
      <c r="C21" s="107" t="s">
        <v>140</v>
      </c>
      <c r="D21" s="21" t="s">
        <v>163</v>
      </c>
      <c r="E21" s="21"/>
      <c r="F21" s="21"/>
      <c r="G21" s="24"/>
      <c r="H21" s="24"/>
      <c r="I21" s="25"/>
      <c r="J21" s="25"/>
      <c r="K21" s="130"/>
      <c r="L21" s="130"/>
      <c r="M21" s="21"/>
      <c r="N21" s="21"/>
      <c r="O21" s="127"/>
      <c r="P21" s="127"/>
      <c r="Q21" s="25"/>
      <c r="R21" s="26"/>
    </row>
    <row r="22" spans="1:18" x14ac:dyDescent="0.25">
      <c r="A22" s="125">
        <f t="shared" si="0"/>
        <v>19</v>
      </c>
      <c r="B22" s="126" t="s">
        <v>119</v>
      </c>
      <c r="C22" s="107" t="s">
        <v>142</v>
      </c>
      <c r="D22" s="21" t="s">
        <v>175</v>
      </c>
      <c r="E22" s="21"/>
      <c r="F22" s="21"/>
      <c r="G22" s="24"/>
      <c r="H22" s="24"/>
      <c r="I22" s="25"/>
      <c r="J22" s="25"/>
      <c r="K22" s="130"/>
      <c r="L22" s="130"/>
      <c r="M22" s="21"/>
      <c r="N22" s="21"/>
      <c r="O22" s="127"/>
      <c r="P22" s="127"/>
      <c r="Q22" s="25"/>
      <c r="R22" s="26"/>
    </row>
    <row r="23" spans="1:18" x14ac:dyDescent="0.25">
      <c r="A23" s="125">
        <f t="shared" si="0"/>
        <v>20</v>
      </c>
      <c r="B23" s="126" t="s">
        <v>119</v>
      </c>
      <c r="C23" s="101" t="s">
        <v>176</v>
      </c>
      <c r="D23" s="21" t="s">
        <v>165</v>
      </c>
      <c r="E23" s="21"/>
      <c r="F23" s="21"/>
      <c r="G23" s="24"/>
      <c r="H23" s="24"/>
      <c r="I23" s="25"/>
      <c r="J23" s="25"/>
      <c r="K23" s="130"/>
      <c r="L23" s="130"/>
      <c r="M23" s="21"/>
      <c r="N23" s="21"/>
      <c r="O23" s="127"/>
      <c r="P23" s="127"/>
      <c r="Q23" s="25"/>
      <c r="R23" s="26"/>
    </row>
    <row r="24" spans="1:18" x14ac:dyDescent="0.25">
      <c r="A24" s="125">
        <f t="shared" si="0"/>
        <v>21</v>
      </c>
      <c r="B24" s="126" t="s">
        <v>115</v>
      </c>
      <c r="C24" s="101" t="s">
        <v>143</v>
      </c>
      <c r="D24" s="21" t="s">
        <v>177</v>
      </c>
      <c r="E24" s="21"/>
      <c r="F24" s="21"/>
      <c r="G24" s="24"/>
      <c r="H24" s="24"/>
      <c r="I24" s="25"/>
      <c r="J24" s="25"/>
      <c r="K24" s="130"/>
      <c r="L24" s="130"/>
      <c r="M24" s="21"/>
      <c r="N24" s="21"/>
      <c r="O24" s="127"/>
      <c r="P24" s="127"/>
      <c r="Q24" s="25"/>
      <c r="R24" s="26"/>
    </row>
    <row r="25" spans="1:18" x14ac:dyDescent="0.25">
      <c r="A25" s="125">
        <f t="shared" si="0"/>
        <v>22</v>
      </c>
      <c r="B25" s="126" t="s">
        <v>103</v>
      </c>
      <c r="C25" s="101" t="s">
        <v>151</v>
      </c>
      <c r="D25" s="21" t="s">
        <v>178</v>
      </c>
      <c r="E25" s="21"/>
      <c r="F25" s="21"/>
      <c r="G25" s="24"/>
      <c r="H25" s="24"/>
      <c r="I25" s="25"/>
      <c r="J25" s="25"/>
      <c r="K25" s="130"/>
      <c r="L25" s="130"/>
      <c r="M25" s="21"/>
      <c r="N25" s="21"/>
      <c r="O25" s="127"/>
      <c r="P25" s="127"/>
      <c r="Q25" s="25"/>
      <c r="R25" s="26"/>
    </row>
    <row r="26" ht="15.75" customHeight="1" spans="1:18" x14ac:dyDescent="0.25">
      <c r="A26" s="125">
        <f t="shared" si="0"/>
        <v>23</v>
      </c>
      <c r="B26" s="132"/>
      <c r="C26" s="133"/>
      <c r="D26" s="133" t="s">
        <v>179</v>
      </c>
      <c r="E26" s="133"/>
      <c r="F26" s="133"/>
      <c r="G26" s="134"/>
      <c r="H26" s="134"/>
      <c r="I26" s="135"/>
      <c r="J26" s="135"/>
      <c r="K26" s="136"/>
      <c r="L26" s="136"/>
      <c r="M26" s="133"/>
      <c r="N26" s="133"/>
      <c r="O26" s="137"/>
      <c r="P26" s="137"/>
      <c r="Q26" s="135"/>
      <c r="R26" s="138"/>
    </row>
  </sheetData>
  <mergeCells count="8">
    <mergeCell ref="A1:R1"/>
    <mergeCell ref="E2:F2"/>
    <mergeCell ref="G2:H2"/>
    <mergeCell ref="I2:J2"/>
    <mergeCell ref="K2:L2"/>
    <mergeCell ref="M2:N2"/>
    <mergeCell ref="O2:P2"/>
    <mergeCell ref="Q2:R2"/>
  </mergeCells>
  <printOptions horizontalCentered="1"/>
  <pageMargins left="0.7" right="0.7" top="0.75" bottom="0.75" header="0.3" footer="0.3"/>
  <pageSetup orientation="landscape" horizontalDpi="4294967295" verticalDpi="4294967295" scale="60" fitToWidth="0" fitToHeight="0" firstPageNumber="1" useFirstPageNumber="1" copies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N38"/>
  <sheetViews>
    <sheetView workbookViewId="0" zoomScale="100" zoomScaleNormal="100">
      <selection activeCell="C3" sqref="C3"/>
    </sheetView>
  </sheetViews>
  <sheetFormatPr defaultRowHeight="15" outlineLevelRow="0" outlineLevelCol="0" x14ac:dyDescent="0.2"/>
  <cols>
    <col min="2" max="2" width="11.43359375" customWidth="1"/>
    <col min="3" max="4" width="14.66015625" customWidth="1"/>
    <col min="5" max="5" width="61.74609375" customWidth="1"/>
    <col min="6" max="6" width="18.96484375" customWidth="1"/>
    <col min="7" max="7" width="16.0078125" customWidth="1"/>
  </cols>
  <sheetData>
    <row r="1" ht="21" customHeight="1" spans="1:7" x14ac:dyDescent="0.25">
      <c r="A1" s="87" t="s">
        <v>95</v>
      </c>
      <c r="B1" s="88"/>
      <c r="C1" s="88"/>
      <c r="D1" s="88"/>
      <c r="E1" s="88"/>
      <c r="F1" s="88"/>
      <c r="G1" s="89"/>
    </row>
    <row r="2" ht="21" customHeight="1" spans="1:7" x14ac:dyDescent="0.25">
      <c r="A2" s="90" t="s">
        <v>96</v>
      </c>
      <c r="B2" s="91" t="s">
        <v>97</v>
      </c>
      <c r="C2" s="92" t="s">
        <v>98</v>
      </c>
      <c r="D2" s="93" t="s">
        <v>99</v>
      </c>
      <c r="E2" s="94" t="s">
        <v>100</v>
      </c>
      <c r="F2" s="94" t="s">
        <v>101</v>
      </c>
      <c r="G2" s="95" t="s">
        <v>102</v>
      </c>
    </row>
    <row r="3" ht="21" customHeight="1" spans="1:7" x14ac:dyDescent="0.25">
      <c r="A3" s="96">
        <v>2</v>
      </c>
      <c r="B3" s="97"/>
      <c r="C3" s="98" t="s">
        <v>103</v>
      </c>
      <c r="D3" s="99" t="s">
        <v>104</v>
      </c>
      <c r="E3" s="100" t="s">
        <v>105</v>
      </c>
      <c r="F3" s="101" t="s">
        <v>106</v>
      </c>
      <c r="G3" s="102" t="s">
        <v>107</v>
      </c>
    </row>
    <row r="4" ht="21" customHeight="1" spans="1:7" x14ac:dyDescent="0.25">
      <c r="A4" s="96">
        <f t="shared" ref="A4:A38" si="0">A3+1</f>
        <v>3</v>
      </c>
      <c r="B4" s="97"/>
      <c r="C4" s="98" t="s">
        <v>108</v>
      </c>
      <c r="D4" s="99" t="s">
        <v>104</v>
      </c>
      <c r="E4" s="100" t="s">
        <v>109</v>
      </c>
      <c r="F4" s="101" t="s">
        <v>110</v>
      </c>
      <c r="G4" s="102" t="s">
        <v>111</v>
      </c>
    </row>
    <row r="5" ht="21" customHeight="1" spans="1:7" x14ac:dyDescent="0.25">
      <c r="A5" s="96">
        <f t="shared" si="0"/>
        <v>4</v>
      </c>
      <c r="B5" s="97"/>
      <c r="C5" s="98" t="s">
        <v>112</v>
      </c>
      <c r="D5" s="99" t="s">
        <v>104</v>
      </c>
      <c r="E5" s="100" t="s">
        <v>113</v>
      </c>
      <c r="F5" s="101" t="s">
        <v>114</v>
      </c>
      <c r="G5" s="102" t="s">
        <v>107</v>
      </c>
    </row>
    <row r="6" ht="21" customHeight="1" spans="1:7" x14ac:dyDescent="0.25">
      <c r="A6" s="96" t="e">
        <f>#REF!+1</f>
        <v>#REF!</v>
      </c>
      <c r="B6" s="97"/>
      <c r="C6" s="98" t="s">
        <v>115</v>
      </c>
      <c r="D6" s="99" t="s">
        <v>116</v>
      </c>
      <c r="E6" s="100" t="s">
        <v>117</v>
      </c>
      <c r="F6" s="101" t="s">
        <v>118</v>
      </c>
      <c r="G6" s="102" t="s">
        <v>107</v>
      </c>
    </row>
    <row r="7" ht="21" customHeight="1" spans="1:7" x14ac:dyDescent="0.25">
      <c r="A7" s="96" t="e">
        <f>#REF!+1</f>
        <v>#REF!</v>
      </c>
      <c r="B7" s="97"/>
      <c r="C7" s="98" t="s">
        <v>119</v>
      </c>
      <c r="D7" s="99" t="s">
        <v>120</v>
      </c>
      <c r="E7" s="100" t="s">
        <v>121</v>
      </c>
      <c r="F7" s="101" t="s">
        <v>122</v>
      </c>
      <c r="G7" s="102" t="s">
        <v>107</v>
      </c>
    </row>
    <row r="8" ht="21" customHeight="1" spans="1:7" x14ac:dyDescent="0.25">
      <c r="A8" s="96" t="e">
        <f t="shared" si="0"/>
        <v>#REF!</v>
      </c>
      <c r="B8" s="97"/>
      <c r="C8" s="98" t="s">
        <v>123</v>
      </c>
      <c r="D8" s="99" t="s">
        <v>120</v>
      </c>
      <c r="E8" s="100" t="s">
        <v>124</v>
      </c>
      <c r="F8" s="101" t="s">
        <v>125</v>
      </c>
      <c r="G8" s="102" t="s">
        <v>107</v>
      </c>
    </row>
    <row r="9" ht="21" customHeight="1" spans="1:7" x14ac:dyDescent="0.25">
      <c r="A9" s="96" t="e">
        <f t="shared" si="0"/>
        <v>#REF!</v>
      </c>
      <c r="B9" s="97"/>
      <c r="C9" s="98" t="s">
        <v>123</v>
      </c>
      <c r="D9" s="99" t="s">
        <v>116</v>
      </c>
      <c r="E9" s="100" t="s">
        <v>126</v>
      </c>
      <c r="F9" s="101" t="s">
        <v>127</v>
      </c>
      <c r="G9" s="102" t="s">
        <v>128</v>
      </c>
    </row>
    <row r="10" ht="21" customHeight="1" spans="1:7" x14ac:dyDescent="0.25">
      <c r="A10" s="96" t="e">
        <f>#REF!+1</f>
        <v>#REF!</v>
      </c>
      <c r="B10" s="97"/>
      <c r="C10" s="98" t="s">
        <v>115</v>
      </c>
      <c r="D10" s="99" t="s">
        <v>104</v>
      </c>
      <c r="E10" s="100" t="s">
        <v>129</v>
      </c>
      <c r="F10" s="101" t="s">
        <v>130</v>
      </c>
      <c r="G10" s="102" t="s">
        <v>107</v>
      </c>
    </row>
    <row r="11" ht="21" customHeight="1" spans="1:7" x14ac:dyDescent="0.25">
      <c r="A11" s="96" t="e">
        <f t="shared" si="0"/>
        <v>#REF!</v>
      </c>
      <c r="B11" s="97"/>
      <c r="C11" s="98" t="s">
        <v>131</v>
      </c>
      <c r="D11" s="99" t="s">
        <v>104</v>
      </c>
      <c r="E11" s="100" t="s">
        <v>132</v>
      </c>
      <c r="F11" s="101" t="s">
        <v>133</v>
      </c>
      <c r="G11" s="102" t="s">
        <v>128</v>
      </c>
    </row>
    <row r="12" ht="21" customHeight="1" spans="1:7" x14ac:dyDescent="0.25">
      <c r="A12" s="96" t="e">
        <f t="shared" si="0"/>
        <v>#REF!</v>
      </c>
      <c r="B12" s="97"/>
      <c r="C12" s="98" t="s">
        <v>112</v>
      </c>
      <c r="D12" s="99" t="s">
        <v>104</v>
      </c>
      <c r="E12" s="100" t="s">
        <v>134</v>
      </c>
      <c r="F12" s="101" t="s">
        <v>133</v>
      </c>
      <c r="G12" s="102" t="s">
        <v>128</v>
      </c>
    </row>
    <row r="13" ht="21" customHeight="1" spans="1:7" x14ac:dyDescent="0.25">
      <c r="A13" s="96" t="e">
        <f t="shared" si="0"/>
        <v>#REF!</v>
      </c>
      <c r="B13" s="97"/>
      <c r="C13" s="98" t="s">
        <v>103</v>
      </c>
      <c r="D13" s="99" t="s">
        <v>116</v>
      </c>
      <c r="E13" s="103" t="s">
        <v>135</v>
      </c>
      <c r="F13" s="101" t="s">
        <v>136</v>
      </c>
      <c r="G13" s="102" t="s">
        <v>107</v>
      </c>
    </row>
    <row r="14" ht="21" customHeight="1" spans="1:7" x14ac:dyDescent="0.25">
      <c r="A14" s="96" t="e">
        <f t="shared" si="0"/>
        <v>#REF!</v>
      </c>
      <c r="B14" s="97"/>
      <c r="C14" s="98" t="s">
        <v>115</v>
      </c>
      <c r="D14" s="99" t="s">
        <v>116</v>
      </c>
      <c r="E14" s="103" t="s">
        <v>137</v>
      </c>
      <c r="F14" s="101" t="s">
        <v>106</v>
      </c>
      <c r="G14" s="102" t="s">
        <v>107</v>
      </c>
    </row>
    <row r="15" ht="21" customHeight="1" spans="1:7" x14ac:dyDescent="0.25">
      <c r="A15" s="96" t="e">
        <f>#REF!+1</f>
        <v>#REF!</v>
      </c>
      <c r="B15" s="97"/>
      <c r="C15" s="98" t="s">
        <v>115</v>
      </c>
      <c r="D15" s="99" t="s">
        <v>104</v>
      </c>
      <c r="E15" s="103" t="s">
        <v>138</v>
      </c>
      <c r="F15" s="101" t="s">
        <v>139</v>
      </c>
      <c r="G15" s="102" t="s">
        <v>107</v>
      </c>
    </row>
    <row r="16" ht="21" customHeight="1" spans="1:7" x14ac:dyDescent="0.25">
      <c r="A16" s="96" t="e">
        <f>#REF!+1</f>
        <v>#REF!</v>
      </c>
      <c r="B16" s="97"/>
      <c r="C16" s="98" t="s">
        <v>119</v>
      </c>
      <c r="D16" s="99" t="s">
        <v>104</v>
      </c>
      <c r="E16" s="103" t="s">
        <v>140</v>
      </c>
      <c r="F16" s="101" t="s">
        <v>141</v>
      </c>
      <c r="G16" s="102" t="s">
        <v>107</v>
      </c>
    </row>
    <row r="17" ht="21" customHeight="1" spans="1:7" x14ac:dyDescent="0.25">
      <c r="A17" s="96" t="e">
        <f t="shared" si="0"/>
        <v>#REF!</v>
      </c>
      <c r="B17" s="97"/>
      <c r="C17" s="98" t="s">
        <v>119</v>
      </c>
      <c r="D17" s="99" t="s">
        <v>104</v>
      </c>
      <c r="E17" s="103" t="s">
        <v>142</v>
      </c>
      <c r="F17" s="101" t="s">
        <v>141</v>
      </c>
      <c r="G17" s="102" t="s">
        <v>107</v>
      </c>
    </row>
    <row r="18" ht="21" customHeight="1" spans="1:7" x14ac:dyDescent="0.25">
      <c r="A18" s="96" t="e">
        <f t="shared" si="0"/>
        <v>#REF!</v>
      </c>
      <c r="B18" s="97"/>
      <c r="C18" s="98" t="s">
        <v>115</v>
      </c>
      <c r="D18" s="99" t="s">
        <v>104</v>
      </c>
      <c r="E18" s="103" t="s">
        <v>143</v>
      </c>
      <c r="F18" s="101" t="s">
        <v>144</v>
      </c>
      <c r="G18" s="102" t="s">
        <v>145</v>
      </c>
    </row>
    <row r="19" ht="21" customHeight="1" spans="1:7" x14ac:dyDescent="0.25">
      <c r="A19" s="96" t="e">
        <f>#REF!+1</f>
        <v>#REF!</v>
      </c>
      <c r="B19" s="97"/>
      <c r="C19" s="98" t="s">
        <v>112</v>
      </c>
      <c r="D19" s="99" t="s">
        <v>120</v>
      </c>
      <c r="E19" s="100" t="s">
        <v>146</v>
      </c>
      <c r="F19" s="101" t="s">
        <v>147</v>
      </c>
      <c r="G19" s="102" t="s">
        <v>107</v>
      </c>
    </row>
    <row r="20" ht="21" customHeight="1" spans="1:7" x14ac:dyDescent="0.25">
      <c r="A20" s="96" t="e">
        <f t="shared" si="0"/>
        <v>#REF!</v>
      </c>
      <c r="B20" s="97"/>
      <c r="C20" s="98" t="s">
        <v>103</v>
      </c>
      <c r="D20" s="99" t="s">
        <v>148</v>
      </c>
      <c r="E20" s="100" t="s">
        <v>149</v>
      </c>
      <c r="F20" s="101" t="s">
        <v>150</v>
      </c>
      <c r="G20" s="102" t="s">
        <v>107</v>
      </c>
    </row>
    <row r="21" ht="21" customHeight="1" spans="1:7" x14ac:dyDescent="0.25">
      <c r="A21" s="96" t="e">
        <f t="shared" si="0"/>
        <v>#REF!</v>
      </c>
      <c r="B21" s="97"/>
      <c r="C21" s="98" t="s">
        <v>103</v>
      </c>
      <c r="D21" s="99" t="s">
        <v>148</v>
      </c>
      <c r="E21" s="100" t="s">
        <v>151</v>
      </c>
      <c r="F21" s="101" t="s">
        <v>152</v>
      </c>
      <c r="G21" s="102" t="s">
        <v>107</v>
      </c>
    </row>
    <row r="22" ht="21" customHeight="1" spans="1:7" x14ac:dyDescent="0.25">
      <c r="A22" s="96" t="e">
        <f>#REF!+1</f>
        <v>#REF!</v>
      </c>
      <c r="B22" s="97"/>
      <c r="C22" s="104"/>
      <c r="D22" s="105"/>
      <c r="E22" s="106"/>
      <c r="F22" s="101"/>
      <c r="G22" s="102"/>
    </row>
    <row r="23" ht="21" customHeight="1" spans="1:7" x14ac:dyDescent="0.25">
      <c r="A23" s="96" t="e">
        <f t="shared" si="0"/>
        <v>#REF!</v>
      </c>
      <c r="B23" s="97"/>
      <c r="C23" s="104"/>
      <c r="D23" s="105"/>
      <c r="E23" s="106"/>
      <c r="F23" s="101"/>
      <c r="G23" s="102"/>
    </row>
    <row r="24" ht="21" customHeight="1" spans="1:14" x14ac:dyDescent="0.25">
      <c r="A24" s="96" t="e">
        <f t="shared" si="0"/>
        <v>#REF!</v>
      </c>
      <c r="B24" s="97"/>
      <c r="C24" s="104"/>
      <c r="D24" s="105"/>
      <c r="E24" s="106"/>
      <c r="F24" s="101"/>
      <c r="G24" s="102"/>
      <c r="N24">
        <v>0</v>
      </c>
    </row>
    <row r="25" ht="21" customHeight="1" spans="1:7" x14ac:dyDescent="0.25">
      <c r="A25" s="96" t="e">
        <f t="shared" si="0"/>
        <v>#REF!</v>
      </c>
      <c r="B25" s="97"/>
      <c r="C25" s="104"/>
      <c r="D25" s="105"/>
      <c r="E25" s="106"/>
      <c r="F25" s="107"/>
      <c r="G25" s="102"/>
    </row>
    <row r="26" ht="21" customHeight="1" spans="1:7" x14ac:dyDescent="0.25">
      <c r="A26" s="96" t="e">
        <f t="shared" si="0"/>
        <v>#REF!</v>
      </c>
      <c r="B26" s="97"/>
      <c r="C26" s="104"/>
      <c r="D26" s="105"/>
      <c r="E26" s="106"/>
      <c r="F26" s="101"/>
      <c r="G26" s="102"/>
    </row>
    <row r="27" ht="21" customHeight="1" spans="1:7" x14ac:dyDescent="0.25">
      <c r="A27" s="96" t="e">
        <f t="shared" si="0"/>
        <v>#REF!</v>
      </c>
      <c r="B27" s="97"/>
      <c r="C27" s="104"/>
      <c r="D27" s="105"/>
      <c r="E27" s="106"/>
      <c r="F27" s="101"/>
      <c r="G27" s="102"/>
    </row>
    <row r="28" ht="21" customHeight="1" spans="1:7" x14ac:dyDescent="0.25">
      <c r="A28" s="96" t="e">
        <f t="shared" si="0"/>
        <v>#REF!</v>
      </c>
      <c r="B28" s="97"/>
      <c r="C28" s="104"/>
      <c r="D28" s="105"/>
      <c r="E28" s="106"/>
      <c r="F28" s="101"/>
      <c r="G28" s="102"/>
    </row>
    <row r="29" ht="21" customHeight="1" spans="1:7" x14ac:dyDescent="0.25">
      <c r="A29" s="96" t="e">
        <f t="shared" si="0"/>
        <v>#REF!</v>
      </c>
      <c r="B29" s="97"/>
      <c r="C29" s="104"/>
      <c r="D29" s="105"/>
      <c r="E29" s="106"/>
      <c r="F29" s="101"/>
      <c r="G29" s="102"/>
    </row>
    <row r="30" ht="21" customHeight="1" spans="1:7" x14ac:dyDescent="0.25">
      <c r="A30" s="96" t="e">
        <f t="shared" si="0"/>
        <v>#REF!</v>
      </c>
      <c r="B30" s="97"/>
      <c r="C30" s="104"/>
      <c r="D30" s="105"/>
      <c r="E30" s="106"/>
      <c r="F30" s="101"/>
      <c r="G30" s="102"/>
    </row>
    <row r="31" ht="21" customHeight="1" spans="1:7" x14ac:dyDescent="0.25">
      <c r="A31" s="96" t="e">
        <f t="shared" si="0"/>
        <v>#REF!</v>
      </c>
      <c r="B31" s="97"/>
      <c r="C31" s="104"/>
      <c r="D31" s="105"/>
      <c r="E31" s="106"/>
      <c r="F31" s="101"/>
      <c r="G31" s="102"/>
    </row>
    <row r="32" ht="21" customHeight="1" spans="1:7" x14ac:dyDescent="0.25">
      <c r="A32" s="96" t="e">
        <f t="shared" si="0"/>
        <v>#REF!</v>
      </c>
      <c r="B32" s="97"/>
      <c r="C32" s="104"/>
      <c r="D32" s="105"/>
      <c r="E32" s="106"/>
      <c r="F32" s="101"/>
      <c r="G32" s="102"/>
    </row>
    <row r="33" ht="21" customHeight="1" spans="1:7" x14ac:dyDescent="0.25">
      <c r="A33" s="96" t="e">
        <f t="shared" si="0"/>
        <v>#REF!</v>
      </c>
      <c r="B33" s="97"/>
      <c r="C33" s="104"/>
      <c r="D33" s="105"/>
      <c r="E33" s="106"/>
      <c r="F33" s="101"/>
      <c r="G33" s="102"/>
    </row>
    <row r="34" ht="21" customHeight="1" spans="1:7" x14ac:dyDescent="0.25">
      <c r="A34" s="96" t="e">
        <f t="shared" si="0"/>
        <v>#REF!</v>
      </c>
      <c r="B34" s="97"/>
      <c r="C34" s="104"/>
      <c r="D34" s="105"/>
      <c r="E34" s="106"/>
      <c r="F34" s="101"/>
      <c r="G34" s="102"/>
    </row>
    <row r="35" ht="21" customHeight="1" spans="1:7" x14ac:dyDescent="0.25">
      <c r="A35" s="96" t="e">
        <f t="shared" si="0"/>
        <v>#REF!</v>
      </c>
      <c r="B35" s="97"/>
      <c r="C35" s="104"/>
      <c r="D35" s="105"/>
      <c r="E35" s="106"/>
      <c r="F35" s="101"/>
      <c r="G35" s="102"/>
    </row>
    <row r="36" ht="21" customHeight="1" spans="1:7" x14ac:dyDescent="0.25">
      <c r="A36" s="96" t="e">
        <f t="shared" si="0"/>
        <v>#REF!</v>
      </c>
      <c r="B36" s="97"/>
      <c r="C36" s="104"/>
      <c r="D36" s="105"/>
      <c r="E36" s="106"/>
      <c r="F36" s="101"/>
      <c r="G36" s="102"/>
    </row>
    <row r="37" ht="21" customHeight="1" spans="1:7" x14ac:dyDescent="0.25">
      <c r="A37" s="96" t="e">
        <f>A36+1</f>
        <v>#REF!</v>
      </c>
      <c r="B37" s="97"/>
      <c r="C37" s="104"/>
      <c r="D37" s="105"/>
      <c r="E37" s="106"/>
      <c r="F37" s="101"/>
      <c r="G37" s="102"/>
    </row>
    <row r="38" ht="21.75" customHeight="1" spans="1:7" x14ac:dyDescent="0.25">
      <c r="A38" s="108" t="e">
        <f t="shared" si="0"/>
        <v>#REF!</v>
      </c>
      <c r="B38" s="109"/>
      <c r="C38" s="110"/>
      <c r="D38" s="111"/>
      <c r="E38" s="112"/>
      <c r="F38" s="113"/>
      <c r="G38" s="114"/>
    </row>
  </sheetData>
  <mergeCells count="1">
    <mergeCell ref="A1:G1"/>
  </mergeCells>
  <pageMargins left="0.25" right="0.25" top="0.75" bottom="0.75" header="0.3" footer="0.3"/>
  <pageSetup orientation="portrait" horizontalDpi="4294967295" verticalDpi="4294967295" scale="64" fitToWidth="1" fitToHeight="1" firstPageNumber="1" useFirstPageNumber="1" copies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Q51"/>
  <sheetViews>
    <sheetView workbookViewId="0" zoomScale="100" zoomScaleNormal="100">
      <selection activeCell="G18" sqref="G18"/>
    </sheetView>
  </sheetViews>
  <sheetFormatPr defaultRowHeight="15" outlineLevelRow="0" outlineLevelCol="0" x14ac:dyDescent="0.2"/>
  <cols>
    <col min="1" max="1" width="9.953125" customWidth="1"/>
    <col min="2" max="2" width="24.75" customWidth="1"/>
    <col min="3" max="4" width="8.875" customWidth="1"/>
  </cols>
  <sheetData>
    <row r="1" spans="1:17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</row>
    <row r="2" spans="1:17" x14ac:dyDescent="0.25">
      <c r="A2" s="5" t="s">
        <v>1</v>
      </c>
      <c r="B2" s="6"/>
      <c r="C2" s="6"/>
      <c r="D2" s="6"/>
      <c r="E2" s="6"/>
      <c r="F2" s="6"/>
      <c r="G2" s="6"/>
      <c r="H2" s="6"/>
      <c r="I2" s="6"/>
      <c r="J2" s="7"/>
      <c r="K2" s="8" t="s">
        <v>2</v>
      </c>
      <c r="L2" s="8" t="s">
        <v>2</v>
      </c>
      <c r="M2" s="9" t="s">
        <v>2</v>
      </c>
      <c r="N2" s="4"/>
      <c r="O2" s="4"/>
      <c r="P2" s="4"/>
      <c r="Q2" s="4"/>
    </row>
    <row r="3" spans="1:17" x14ac:dyDescent="0.25">
      <c r="A3" s="10" t="s">
        <v>3</v>
      </c>
      <c r="B3" s="11" t="s">
        <v>4</v>
      </c>
      <c r="C3" s="12" t="s">
        <v>5</v>
      </c>
      <c r="D3" s="13" t="s">
        <v>6</v>
      </c>
      <c r="E3" s="14" t="s">
        <v>7</v>
      </c>
      <c r="F3" s="14"/>
      <c r="G3" s="14" t="s">
        <v>8</v>
      </c>
      <c r="H3" s="15"/>
      <c r="I3" s="14" t="s">
        <v>9</v>
      </c>
      <c r="J3" s="16"/>
      <c r="K3" s="4"/>
      <c r="L3" s="4"/>
      <c r="M3" s="4"/>
      <c r="N3" s="4"/>
      <c r="O3" s="4"/>
      <c r="P3" s="4"/>
      <c r="Q3" s="4"/>
    </row>
    <row r="4" spans="1:17" x14ac:dyDescent="0.25">
      <c r="A4" s="10"/>
      <c r="B4" s="17" t="s">
        <v>10</v>
      </c>
      <c r="C4" s="12"/>
      <c r="D4" s="13"/>
      <c r="E4" s="18" t="s">
        <v>11</v>
      </c>
      <c r="F4" s="18" t="s">
        <v>12</v>
      </c>
      <c r="G4" s="18" t="s">
        <v>11</v>
      </c>
      <c r="H4" s="18" t="s">
        <v>12</v>
      </c>
      <c r="I4" s="18" t="s">
        <v>11</v>
      </c>
      <c r="J4" s="19" t="s">
        <v>12</v>
      </c>
      <c r="K4" s="4"/>
      <c r="L4" s="4"/>
      <c r="M4" s="4"/>
      <c r="N4" s="4"/>
      <c r="O4" s="4"/>
      <c r="P4" s="4"/>
      <c r="Q4" s="4"/>
    </row>
    <row r="5" spans="1:17" x14ac:dyDescent="0.25">
      <c r="A5" s="20">
        <v>7224627</v>
      </c>
      <c r="B5" s="21" t="s">
        <v>13</v>
      </c>
      <c r="C5" s="22" t="s">
        <v>14</v>
      </c>
      <c r="D5" s="23" t="s">
        <v>15</v>
      </c>
      <c r="E5" s="21" t="s">
        <v>2</v>
      </c>
      <c r="F5" s="21" t="s">
        <v>2</v>
      </c>
      <c r="G5" s="24" t="s">
        <v>2</v>
      </c>
      <c r="H5" s="24" t="s">
        <v>2</v>
      </c>
      <c r="I5" s="25" t="s">
        <v>2</v>
      </c>
      <c r="J5" s="26" t="s">
        <v>2</v>
      </c>
      <c r="K5" s="4"/>
      <c r="L5" s="4"/>
      <c r="M5" s="4"/>
      <c r="N5" s="4"/>
      <c r="O5" s="4"/>
      <c r="P5" s="4"/>
      <c r="Q5" s="4"/>
    </row>
    <row r="6" spans="1:17" x14ac:dyDescent="0.25">
      <c r="A6" s="20">
        <v>7091041</v>
      </c>
      <c r="B6" s="21" t="s">
        <v>16</v>
      </c>
      <c r="C6" s="22" t="s">
        <v>14</v>
      </c>
      <c r="D6" s="23" t="s">
        <v>15</v>
      </c>
      <c r="E6" s="21" t="s">
        <v>2</v>
      </c>
      <c r="F6" s="21" t="s">
        <v>2</v>
      </c>
      <c r="G6" s="24" t="s">
        <v>2</v>
      </c>
      <c r="H6" s="24" t="s">
        <v>2</v>
      </c>
      <c r="I6" s="25" t="s">
        <v>2</v>
      </c>
      <c r="J6" s="26" t="s">
        <v>2</v>
      </c>
      <c r="K6" s="4"/>
      <c r="L6" s="4"/>
      <c r="M6" s="4"/>
      <c r="N6" s="4"/>
      <c r="O6" s="4"/>
      <c r="P6" s="4"/>
      <c r="Q6" s="4"/>
    </row>
    <row r="7" spans="1:17" x14ac:dyDescent="0.25">
      <c r="A7" s="20">
        <v>1440229</v>
      </c>
      <c r="B7" s="21" t="s">
        <v>17</v>
      </c>
      <c r="C7" s="22" t="s">
        <v>18</v>
      </c>
      <c r="D7" s="23" t="s">
        <v>19</v>
      </c>
      <c r="E7" s="21" t="s">
        <v>2</v>
      </c>
      <c r="F7" s="21" t="s">
        <v>2</v>
      </c>
      <c r="G7" s="24" t="s">
        <v>2</v>
      </c>
      <c r="H7" s="24" t="s">
        <v>2</v>
      </c>
      <c r="I7" s="25" t="s">
        <v>2</v>
      </c>
      <c r="J7" s="26" t="s">
        <v>2</v>
      </c>
      <c r="K7" s="4"/>
      <c r="L7" s="27"/>
      <c r="M7" s="27"/>
      <c r="N7" s="4"/>
      <c r="O7" s="4"/>
      <c r="P7" s="4"/>
      <c r="Q7" s="4"/>
    </row>
    <row r="8" spans="1:17" x14ac:dyDescent="0.25">
      <c r="A8" s="20">
        <v>4913093</v>
      </c>
      <c r="B8" s="21" t="s">
        <v>20</v>
      </c>
      <c r="C8" s="22" t="s">
        <v>21</v>
      </c>
      <c r="D8" s="23" t="s">
        <v>19</v>
      </c>
      <c r="E8" s="21" t="s">
        <v>2</v>
      </c>
      <c r="F8" s="21" t="s">
        <v>2</v>
      </c>
      <c r="G8" s="24" t="s">
        <v>2</v>
      </c>
      <c r="H8" s="24" t="s">
        <v>2</v>
      </c>
      <c r="I8" s="25" t="s">
        <v>2</v>
      </c>
      <c r="J8" s="26" t="s">
        <v>2</v>
      </c>
      <c r="K8" s="4"/>
      <c r="L8" s="4"/>
      <c r="M8" s="4"/>
      <c r="N8" s="4"/>
      <c r="O8" s="4"/>
      <c r="P8" s="4"/>
      <c r="Q8" s="4"/>
    </row>
    <row r="9" spans="1:17" x14ac:dyDescent="0.25">
      <c r="A9" s="20">
        <v>1288192</v>
      </c>
      <c r="B9" s="21" t="s">
        <v>22</v>
      </c>
      <c r="C9" s="22" t="s">
        <v>23</v>
      </c>
      <c r="D9" s="23" t="s">
        <v>24</v>
      </c>
      <c r="E9" s="21" t="s">
        <v>2</v>
      </c>
      <c r="F9" s="21" t="s">
        <v>2</v>
      </c>
      <c r="G9" s="24" t="s">
        <v>2</v>
      </c>
      <c r="H9" s="24" t="s">
        <v>2</v>
      </c>
      <c r="I9" s="25" t="s">
        <v>2</v>
      </c>
      <c r="J9" s="26" t="s">
        <v>2</v>
      </c>
      <c r="K9" s="4"/>
      <c r="L9" s="27"/>
      <c r="M9" s="28" t="s">
        <v>2</v>
      </c>
      <c r="N9" s="4"/>
      <c r="O9" s="4"/>
      <c r="P9" s="4"/>
      <c r="Q9" s="4"/>
    </row>
    <row r="10" spans="1:17" x14ac:dyDescent="0.25">
      <c r="A10" s="20">
        <v>7163346</v>
      </c>
      <c r="B10" s="21" t="s">
        <v>25</v>
      </c>
      <c r="C10" s="22" t="s">
        <v>26</v>
      </c>
      <c r="D10" s="23" t="s">
        <v>19</v>
      </c>
      <c r="E10" s="21" t="s">
        <v>2</v>
      </c>
      <c r="F10" s="21" t="s">
        <v>2</v>
      </c>
      <c r="G10" s="24" t="s">
        <v>2</v>
      </c>
      <c r="H10" s="24" t="s">
        <v>2</v>
      </c>
      <c r="I10" s="25" t="s">
        <v>2</v>
      </c>
      <c r="J10" s="26" t="s">
        <v>2</v>
      </c>
      <c r="K10" s="4"/>
      <c r="L10" s="27"/>
      <c r="M10" s="27"/>
      <c r="N10" s="4"/>
      <c r="O10" s="4"/>
      <c r="P10" s="4"/>
      <c r="Q10" s="4"/>
    </row>
    <row r="11" spans="1:17" x14ac:dyDescent="0.25">
      <c r="A11" s="20">
        <v>8231512</v>
      </c>
      <c r="B11" s="21" t="s">
        <v>27</v>
      </c>
      <c r="C11" s="22">
        <v>240</v>
      </c>
      <c r="D11" s="23" t="s">
        <v>19</v>
      </c>
      <c r="E11" s="21" t="s">
        <v>2</v>
      </c>
      <c r="F11" s="21" t="s">
        <v>2</v>
      </c>
      <c r="G11" s="24" t="s">
        <v>2</v>
      </c>
      <c r="H11" s="24" t="s">
        <v>2</v>
      </c>
      <c r="I11" s="25" t="s">
        <v>2</v>
      </c>
      <c r="J11" s="26" t="s">
        <v>2</v>
      </c>
      <c r="K11" s="4"/>
      <c r="L11" s="4"/>
      <c r="M11" s="4"/>
      <c r="N11" s="4"/>
      <c r="O11" s="4"/>
      <c r="P11" s="4"/>
      <c r="Q11" s="4"/>
    </row>
    <row r="12" spans="1:17" x14ac:dyDescent="0.25">
      <c r="A12" s="20">
        <v>8018838</v>
      </c>
      <c r="B12" s="21" t="s">
        <v>28</v>
      </c>
      <c r="C12" s="22">
        <v>240</v>
      </c>
      <c r="D12" s="23" t="s">
        <v>19</v>
      </c>
      <c r="E12" s="21"/>
      <c r="F12" s="21" t="s">
        <v>2</v>
      </c>
      <c r="G12" s="24" t="s">
        <v>2</v>
      </c>
      <c r="H12" s="24" t="s">
        <v>2</v>
      </c>
      <c r="I12" s="25" t="s">
        <v>2</v>
      </c>
      <c r="J12" s="26" t="s">
        <v>2</v>
      </c>
      <c r="K12" s="4"/>
      <c r="L12" s="4"/>
      <c r="M12" s="4"/>
      <c r="N12" s="4"/>
      <c r="O12" s="4"/>
      <c r="P12" s="4"/>
      <c r="Q12" s="4"/>
    </row>
    <row r="13" spans="1:17" x14ac:dyDescent="0.25">
      <c r="A13" s="20">
        <v>8231967</v>
      </c>
      <c r="B13" s="21" t="s">
        <v>29</v>
      </c>
      <c r="C13" s="22">
        <v>240</v>
      </c>
      <c r="D13" s="23" t="s">
        <v>19</v>
      </c>
      <c r="E13" s="21" t="s">
        <v>2</v>
      </c>
      <c r="F13" s="21" t="s">
        <v>2</v>
      </c>
      <c r="G13" s="24" t="s">
        <v>2</v>
      </c>
      <c r="H13" s="24" t="s">
        <v>2</v>
      </c>
      <c r="I13" s="25" t="s">
        <v>2</v>
      </c>
      <c r="J13" s="26" t="s">
        <v>2</v>
      </c>
      <c r="K13" s="4"/>
      <c r="L13" s="4"/>
      <c r="M13" s="4"/>
      <c r="N13" s="4"/>
      <c r="O13" s="4"/>
      <c r="P13" s="4"/>
      <c r="Q13" s="4"/>
    </row>
    <row r="14" spans="1:17" x14ac:dyDescent="0.25">
      <c r="A14" s="20">
        <v>2099341</v>
      </c>
      <c r="B14" s="21" t="s">
        <v>30</v>
      </c>
      <c r="C14" s="22" t="s">
        <v>21</v>
      </c>
      <c r="D14" s="23" t="s">
        <v>31</v>
      </c>
      <c r="E14" s="21"/>
      <c r="F14" s="21" t="s">
        <v>2</v>
      </c>
      <c r="G14" s="24" t="s">
        <v>2</v>
      </c>
      <c r="H14" s="24" t="s">
        <v>2</v>
      </c>
      <c r="I14" s="25" t="s">
        <v>2</v>
      </c>
      <c r="J14" s="26" t="s">
        <v>2</v>
      </c>
      <c r="K14" s="4"/>
      <c r="L14" s="27"/>
      <c r="M14" s="29" t="s">
        <v>2</v>
      </c>
      <c r="N14" s="4"/>
      <c r="O14" s="4"/>
      <c r="P14" s="4"/>
      <c r="Q14" s="4"/>
    </row>
    <row r="15" spans="1:17" x14ac:dyDescent="0.25">
      <c r="A15" s="20">
        <v>3290097</v>
      </c>
      <c r="B15" s="21" t="s">
        <v>32</v>
      </c>
      <c r="C15" s="22">
        <v>100</v>
      </c>
      <c r="D15" s="23" t="s">
        <v>19</v>
      </c>
      <c r="E15" s="21" t="s">
        <v>2</v>
      </c>
      <c r="F15" s="21" t="s">
        <v>2</v>
      </c>
      <c r="G15" s="24" t="s">
        <v>2</v>
      </c>
      <c r="H15" s="24" t="s">
        <v>2</v>
      </c>
      <c r="I15" s="25" t="s">
        <v>2</v>
      </c>
      <c r="J15" s="26" t="s">
        <v>2</v>
      </c>
      <c r="K15" s="4"/>
      <c r="L15" s="4"/>
      <c r="M15" s="4"/>
      <c r="N15" s="4"/>
      <c r="O15" s="4"/>
      <c r="P15" s="4"/>
      <c r="Q15" s="4"/>
    </row>
    <row r="16" spans="1:17" x14ac:dyDescent="0.25">
      <c r="A16" s="30">
        <v>1438924</v>
      </c>
      <c r="B16" s="21" t="s">
        <v>33</v>
      </c>
      <c r="C16" s="31" t="s">
        <v>34</v>
      </c>
      <c r="D16" s="23" t="s">
        <v>19</v>
      </c>
      <c r="E16" s="21" t="s">
        <v>2</v>
      </c>
      <c r="F16" s="21" t="s">
        <v>2</v>
      </c>
      <c r="G16" s="24" t="s">
        <v>2</v>
      </c>
      <c r="H16" s="24" t="s">
        <v>2</v>
      </c>
      <c r="I16" s="25" t="s">
        <v>2</v>
      </c>
      <c r="J16" s="26" t="s">
        <v>2</v>
      </c>
      <c r="K16" s="4"/>
      <c r="L16" s="4"/>
      <c r="M16" s="4"/>
      <c r="N16" s="4"/>
      <c r="O16" s="4"/>
      <c r="P16" s="4"/>
      <c r="Q16" s="4"/>
    </row>
    <row r="17" spans="1:17" x14ac:dyDescent="0.25">
      <c r="A17" s="30">
        <v>4685594</v>
      </c>
      <c r="B17" s="21" t="s">
        <v>35</v>
      </c>
      <c r="C17" s="31" t="s">
        <v>36</v>
      </c>
      <c r="D17" s="23" t="s">
        <v>19</v>
      </c>
      <c r="E17" s="21"/>
      <c r="F17" s="21"/>
      <c r="G17" s="24"/>
      <c r="H17" s="24"/>
      <c r="I17" s="25"/>
      <c r="J17" s="26"/>
      <c r="K17" s="4"/>
      <c r="L17" s="4"/>
      <c r="M17" s="4"/>
      <c r="N17" s="4"/>
      <c r="O17" s="4"/>
      <c r="P17" s="4"/>
      <c r="Q17" s="4"/>
    </row>
    <row r="18" spans="1:17" x14ac:dyDescent="0.25">
      <c r="A18" s="20">
        <v>4685614</v>
      </c>
      <c r="B18" s="21" t="s">
        <v>37</v>
      </c>
      <c r="C18" s="22" t="s">
        <v>36</v>
      </c>
      <c r="D18" s="23" t="s">
        <v>19</v>
      </c>
      <c r="E18" s="21" t="s">
        <v>2</v>
      </c>
      <c r="F18" s="21" t="s">
        <v>2</v>
      </c>
      <c r="G18" s="24" t="s">
        <v>2</v>
      </c>
      <c r="H18" s="24" t="s">
        <v>2</v>
      </c>
      <c r="I18" s="25" t="s">
        <v>2</v>
      </c>
      <c r="J18" s="26" t="s">
        <v>2</v>
      </c>
      <c r="K18" s="4"/>
      <c r="L18" s="4"/>
      <c r="M18" s="4"/>
      <c r="N18" s="4"/>
      <c r="O18" s="4"/>
      <c r="P18" s="4"/>
      <c r="Q18" s="4"/>
    </row>
    <row r="19" spans="1:17" x14ac:dyDescent="0.25">
      <c r="A19" s="20">
        <v>4685621</v>
      </c>
      <c r="B19" s="21" t="s">
        <v>38</v>
      </c>
      <c r="C19" s="22" t="s">
        <v>36</v>
      </c>
      <c r="D19" s="23" t="s">
        <v>19</v>
      </c>
      <c r="E19" s="21" t="s">
        <v>2</v>
      </c>
      <c r="F19" s="21" t="s">
        <v>2</v>
      </c>
      <c r="G19" s="24" t="s">
        <v>2</v>
      </c>
      <c r="H19" s="24" t="s">
        <v>2</v>
      </c>
      <c r="I19" s="25" t="s">
        <v>2</v>
      </c>
      <c r="J19" s="26" t="s">
        <v>2</v>
      </c>
      <c r="K19" s="4"/>
      <c r="L19" s="27"/>
      <c r="M19" s="27"/>
      <c r="N19" s="4"/>
      <c r="O19" s="4"/>
      <c r="P19" s="4"/>
      <c r="Q19" s="4"/>
    </row>
    <row r="20" spans="1:17" x14ac:dyDescent="0.25">
      <c r="A20" s="20">
        <v>7274085</v>
      </c>
      <c r="B20" s="21" t="s">
        <v>39</v>
      </c>
      <c r="C20" s="22" t="s">
        <v>40</v>
      </c>
      <c r="D20" s="23" t="s">
        <v>19</v>
      </c>
      <c r="E20" s="21"/>
      <c r="F20" s="21"/>
      <c r="G20" s="24"/>
      <c r="H20" s="24"/>
      <c r="I20" s="25"/>
      <c r="J20" s="26"/>
      <c r="K20" s="4"/>
      <c r="L20" s="27"/>
      <c r="M20" s="27"/>
      <c r="N20" s="4"/>
      <c r="O20" s="4"/>
      <c r="P20" s="4"/>
      <c r="Q20" s="4"/>
    </row>
    <row r="21" spans="1:17" x14ac:dyDescent="0.25">
      <c r="A21" s="20">
        <v>6436059</v>
      </c>
      <c r="B21" s="21" t="s">
        <v>41</v>
      </c>
      <c r="C21" s="32" t="s">
        <v>34</v>
      </c>
      <c r="D21" s="33" t="s">
        <v>42</v>
      </c>
      <c r="E21" s="21" t="s">
        <v>2</v>
      </c>
      <c r="F21" s="21" t="s">
        <v>2</v>
      </c>
      <c r="G21" s="24" t="s">
        <v>2</v>
      </c>
      <c r="H21" s="24" t="s">
        <v>2</v>
      </c>
      <c r="I21" s="25" t="s">
        <v>2</v>
      </c>
      <c r="J21" s="26" t="s">
        <v>2</v>
      </c>
      <c r="K21" s="4"/>
      <c r="L21" s="4"/>
      <c r="M21" s="4"/>
      <c r="N21" s="4"/>
      <c r="O21" s="4"/>
      <c r="P21" s="4"/>
      <c r="Q21" s="4"/>
    </row>
    <row r="22" spans="1:17" x14ac:dyDescent="0.25">
      <c r="A22" s="20">
        <v>7435266</v>
      </c>
      <c r="B22" s="21" t="s">
        <v>43</v>
      </c>
      <c r="C22" s="22" t="s">
        <v>44</v>
      </c>
      <c r="D22" s="23" t="s">
        <v>31</v>
      </c>
      <c r="E22" s="21" t="s">
        <v>2</v>
      </c>
      <c r="F22" s="21" t="s">
        <v>2</v>
      </c>
      <c r="G22" s="24" t="s">
        <v>2</v>
      </c>
      <c r="H22" s="24" t="s">
        <v>2</v>
      </c>
      <c r="I22" s="25" t="s">
        <v>2</v>
      </c>
      <c r="J22" s="26" t="s">
        <v>2</v>
      </c>
      <c r="K22" s="4"/>
      <c r="L22" s="4"/>
      <c r="M22" s="4"/>
      <c r="N22" s="4"/>
      <c r="O22" s="4"/>
      <c r="P22" s="4"/>
      <c r="Q22" s="4"/>
    </row>
    <row r="23" spans="1:17" x14ac:dyDescent="0.25">
      <c r="A23" s="20">
        <v>496026</v>
      </c>
      <c r="B23" s="21" t="s">
        <v>45</v>
      </c>
      <c r="C23" s="22" t="s">
        <v>44</v>
      </c>
      <c r="D23" s="23" t="s">
        <v>31</v>
      </c>
      <c r="E23" s="21" t="s">
        <v>2</v>
      </c>
      <c r="F23" s="21" t="s">
        <v>2</v>
      </c>
      <c r="G23" s="24" t="s">
        <v>2</v>
      </c>
      <c r="H23" s="24" t="s">
        <v>2</v>
      </c>
      <c r="I23" s="25" t="s">
        <v>2</v>
      </c>
      <c r="J23" s="26" t="s">
        <v>2</v>
      </c>
      <c r="K23" s="4"/>
      <c r="L23" s="4"/>
      <c r="M23" s="4"/>
      <c r="N23" s="4"/>
      <c r="O23" s="4"/>
      <c r="P23" s="4"/>
      <c r="Q23" s="4"/>
    </row>
    <row r="24" spans="1:17" x14ac:dyDescent="0.25">
      <c r="A24" s="20">
        <v>6938336</v>
      </c>
      <c r="B24" s="21" t="s">
        <v>46</v>
      </c>
      <c r="C24" s="22" t="s">
        <v>44</v>
      </c>
      <c r="D24" s="23" t="s">
        <v>31</v>
      </c>
      <c r="E24" s="21" t="s">
        <v>2</v>
      </c>
      <c r="F24" s="21" t="s">
        <v>2</v>
      </c>
      <c r="G24" s="24" t="s">
        <v>2</v>
      </c>
      <c r="H24" s="24" t="s">
        <v>2</v>
      </c>
      <c r="I24" s="25" t="s">
        <v>2</v>
      </c>
      <c r="J24" s="26" t="s">
        <v>2</v>
      </c>
      <c r="K24" s="4"/>
      <c r="L24" s="4"/>
      <c r="M24" s="4"/>
      <c r="N24" s="4"/>
      <c r="O24" s="4"/>
      <c r="P24" s="4"/>
      <c r="Q24" s="4"/>
    </row>
    <row r="25" spans="1:17" x14ac:dyDescent="0.25">
      <c r="A25" s="20">
        <v>7200759</v>
      </c>
      <c r="B25" s="21" t="s">
        <v>47</v>
      </c>
      <c r="C25" s="32" t="s">
        <v>48</v>
      </c>
      <c r="D25" s="33" t="s">
        <v>42</v>
      </c>
      <c r="E25" s="21" t="s">
        <v>2</v>
      </c>
      <c r="F25" s="21" t="s">
        <v>2</v>
      </c>
      <c r="G25" s="24" t="s">
        <v>2</v>
      </c>
      <c r="H25" s="24" t="s">
        <v>2</v>
      </c>
      <c r="I25" s="25" t="s">
        <v>2</v>
      </c>
      <c r="J25" s="26" t="s">
        <v>2</v>
      </c>
      <c r="K25" s="4"/>
      <c r="L25" s="27"/>
      <c r="M25" s="29" t="s">
        <v>2</v>
      </c>
      <c r="N25" s="4"/>
      <c r="O25" s="4"/>
      <c r="P25" s="4"/>
      <c r="Q25" s="4"/>
    </row>
    <row r="26" spans="1:17" x14ac:dyDescent="0.25">
      <c r="A26" s="20">
        <v>8003422</v>
      </c>
      <c r="B26" s="21" t="s">
        <v>49</v>
      </c>
      <c r="C26" s="32" t="s">
        <v>18</v>
      </c>
      <c r="D26" s="33" t="s">
        <v>50</v>
      </c>
      <c r="E26" s="25" t="s">
        <v>2</v>
      </c>
      <c r="F26" s="25" t="s">
        <v>2</v>
      </c>
      <c r="G26" s="24" t="s">
        <v>2</v>
      </c>
      <c r="H26" s="24" t="s">
        <v>2</v>
      </c>
      <c r="I26" s="25" t="s">
        <v>2</v>
      </c>
      <c r="J26" s="26" t="s">
        <v>2</v>
      </c>
      <c r="K26" s="4"/>
      <c r="L26" s="4"/>
      <c r="M26" s="4"/>
      <c r="N26" s="4"/>
      <c r="O26" s="4"/>
      <c r="P26" s="4"/>
      <c r="Q26" s="4"/>
    </row>
    <row r="27" spans="1:17" x14ac:dyDescent="0.25">
      <c r="A27" s="20">
        <v>4220580</v>
      </c>
      <c r="B27" s="25" t="s">
        <v>51</v>
      </c>
      <c r="C27" s="32" t="s">
        <v>52</v>
      </c>
      <c r="D27" s="33" t="s">
        <v>53</v>
      </c>
      <c r="E27" s="21" t="s">
        <v>2</v>
      </c>
      <c r="F27" s="21" t="s">
        <v>2</v>
      </c>
      <c r="G27" s="24" t="s">
        <v>2</v>
      </c>
      <c r="H27" s="24" t="s">
        <v>2</v>
      </c>
      <c r="I27" s="25" t="s">
        <v>2</v>
      </c>
      <c r="J27" s="26" t="s">
        <v>2</v>
      </c>
      <c r="K27" s="4"/>
      <c r="L27" s="27"/>
      <c r="M27" s="29" t="s">
        <v>2</v>
      </c>
      <c r="N27" s="4"/>
      <c r="O27" s="4"/>
      <c r="P27" s="4"/>
      <c r="Q27" s="4"/>
    </row>
    <row r="28" spans="1:17" x14ac:dyDescent="0.25">
      <c r="A28" s="20">
        <v>5974290</v>
      </c>
      <c r="B28" s="21" t="s">
        <v>54</v>
      </c>
      <c r="C28" s="22" t="s">
        <v>55</v>
      </c>
      <c r="D28" s="23" t="s">
        <v>19</v>
      </c>
      <c r="E28" s="21" t="s">
        <v>2</v>
      </c>
      <c r="F28" s="21" t="s">
        <v>2</v>
      </c>
      <c r="G28" s="24" t="s">
        <v>2</v>
      </c>
      <c r="H28" s="24" t="s">
        <v>2</v>
      </c>
      <c r="I28" s="25" t="s">
        <v>2</v>
      </c>
      <c r="J28" s="26" t="s">
        <v>2</v>
      </c>
      <c r="K28" s="4"/>
      <c r="L28" s="27"/>
      <c r="M28" s="29" t="s">
        <v>2</v>
      </c>
      <c r="N28" s="4"/>
      <c r="O28" s="4"/>
      <c r="P28" s="4"/>
      <c r="Q28" s="4"/>
    </row>
    <row r="29" spans="1:17" x14ac:dyDescent="0.25">
      <c r="A29" s="20">
        <v>7096905</v>
      </c>
      <c r="B29" s="21" t="s">
        <v>56</v>
      </c>
      <c r="C29" s="32" t="s">
        <v>34</v>
      </c>
      <c r="D29" s="33" t="s">
        <v>42</v>
      </c>
      <c r="E29" s="21" t="s">
        <v>2</v>
      </c>
      <c r="F29" s="21" t="s">
        <v>2</v>
      </c>
      <c r="G29" s="24" t="s">
        <v>2</v>
      </c>
      <c r="H29" s="24" t="s">
        <v>2</v>
      </c>
      <c r="I29" s="25" t="s">
        <v>2</v>
      </c>
      <c r="J29" s="34" t="s">
        <v>2</v>
      </c>
      <c r="K29" s="4"/>
      <c r="L29" s="27"/>
      <c r="M29" s="29" t="s">
        <v>2</v>
      </c>
      <c r="N29" s="4"/>
      <c r="O29" s="4"/>
      <c r="P29" s="4"/>
      <c r="Q29" s="4"/>
    </row>
    <row r="30" spans="1:17" x14ac:dyDescent="0.25">
      <c r="A30" s="35">
        <v>6885703</v>
      </c>
      <c r="B30" s="36" t="s">
        <v>57</v>
      </c>
      <c r="C30" s="37" t="s">
        <v>58</v>
      </c>
      <c r="D30" s="38" t="s">
        <v>19</v>
      </c>
      <c r="E30" s="39"/>
      <c r="F30" s="39"/>
      <c r="G30" s="40"/>
      <c r="H30" s="40"/>
      <c r="I30" s="41"/>
      <c r="J30" s="42"/>
      <c r="K30" s="4"/>
      <c r="L30" s="4"/>
      <c r="M30" s="4"/>
      <c r="N30" s="4"/>
      <c r="O30" s="4"/>
      <c r="P30" s="4"/>
      <c r="Q30" s="4"/>
    </row>
    <row r="31" spans="1:17" s="43" customFormat="1" x14ac:dyDescent="0.25">
      <c r="A31" s="44">
        <v>5950688</v>
      </c>
      <c r="B31" s="45" t="s">
        <v>59</v>
      </c>
      <c r="C31" s="46" t="s">
        <v>60</v>
      </c>
      <c r="D31" s="47" t="s">
        <v>19</v>
      </c>
      <c r="E31" s="48"/>
      <c r="F31" s="48"/>
      <c r="G31" s="47"/>
      <c r="H31" s="47"/>
      <c r="I31" s="49"/>
      <c r="J31" s="50"/>
      <c r="K31" s="51"/>
      <c r="L31" s="51"/>
      <c r="M31" s="51"/>
      <c r="N31" s="51"/>
      <c r="O31" s="51"/>
      <c r="P31" s="51"/>
      <c r="Q31" s="51"/>
    </row>
    <row r="32" spans="1:17" x14ac:dyDescent="0.25">
      <c r="A32" s="35">
        <v>7498660</v>
      </c>
      <c r="B32" s="52" t="s">
        <v>61</v>
      </c>
      <c r="C32" s="37" t="s">
        <v>62</v>
      </c>
      <c r="D32" s="38" t="s">
        <v>63</v>
      </c>
      <c r="E32" s="39"/>
      <c r="F32" s="39"/>
      <c r="G32" s="40"/>
      <c r="H32" s="40"/>
      <c r="I32" s="41"/>
      <c r="J32" s="42"/>
      <c r="K32" s="4"/>
      <c r="L32" s="4"/>
      <c r="M32" s="4"/>
      <c r="N32" s="4"/>
      <c r="O32" s="4"/>
      <c r="P32" s="4"/>
      <c r="Q32" s="4"/>
    </row>
    <row r="33" spans="1:17" x14ac:dyDescent="0.25">
      <c r="A33" s="35">
        <v>8195794</v>
      </c>
      <c r="B33" s="52" t="s">
        <v>64</v>
      </c>
      <c r="C33" s="37" t="s">
        <v>65</v>
      </c>
      <c r="D33" s="38" t="s">
        <v>19</v>
      </c>
      <c r="E33" s="39"/>
      <c r="F33" s="39"/>
      <c r="G33" s="40"/>
      <c r="H33" s="40"/>
      <c r="I33" s="41"/>
      <c r="J33" s="42"/>
      <c r="K33" s="4"/>
      <c r="L33" s="4"/>
      <c r="M33" s="4"/>
      <c r="N33" s="4"/>
      <c r="O33" s="4"/>
      <c r="P33" s="4"/>
      <c r="Q33" s="4"/>
    </row>
    <row r="34" spans="1:17" x14ac:dyDescent="0.25">
      <c r="A34" s="35">
        <v>1995663</v>
      </c>
      <c r="B34" s="52" t="s">
        <v>66</v>
      </c>
      <c r="C34" s="37" t="s">
        <v>67</v>
      </c>
      <c r="D34" s="38" t="s">
        <v>42</v>
      </c>
      <c r="E34" s="39"/>
      <c r="F34" s="39"/>
      <c r="G34" s="40"/>
      <c r="H34" s="40"/>
      <c r="I34" s="41"/>
      <c r="J34" s="42"/>
      <c r="K34" s="4"/>
      <c r="L34" s="4"/>
      <c r="M34" s="4"/>
      <c r="N34" s="4"/>
      <c r="O34" s="4"/>
      <c r="P34" s="4"/>
      <c r="Q34" s="4"/>
    </row>
    <row r="35" spans="1:17" x14ac:dyDescent="0.25">
      <c r="A35" s="35">
        <v>2000513</v>
      </c>
      <c r="B35" s="52" t="s">
        <v>68</v>
      </c>
      <c r="C35" s="37" t="s">
        <v>36</v>
      </c>
      <c r="D35" s="38" t="s">
        <v>19</v>
      </c>
      <c r="E35" s="39"/>
      <c r="F35" s="39"/>
      <c r="G35" s="40"/>
      <c r="H35" s="40"/>
      <c r="I35" s="41"/>
      <c r="J35" s="42"/>
      <c r="K35" s="4"/>
      <c r="L35" s="4"/>
      <c r="M35" s="4"/>
      <c r="N35" s="4"/>
      <c r="O35" s="4"/>
      <c r="P35" s="4"/>
      <c r="Q35" s="4"/>
    </row>
    <row r="36" spans="1:17" x14ac:dyDescent="0.25">
      <c r="A36" s="35" t="s">
        <v>69</v>
      </c>
      <c r="B36" s="52" t="s">
        <v>70</v>
      </c>
      <c r="C36" s="37" t="s">
        <v>62</v>
      </c>
      <c r="D36" s="38" t="s">
        <v>63</v>
      </c>
      <c r="E36" s="39"/>
      <c r="F36" s="39"/>
      <c r="G36" s="40"/>
      <c r="H36" s="40"/>
      <c r="I36" s="41"/>
      <c r="J36" s="42"/>
      <c r="K36" s="4"/>
      <c r="L36" s="4"/>
      <c r="M36" s="4"/>
      <c r="N36" s="4"/>
      <c r="O36" s="4"/>
      <c r="P36" s="4"/>
      <c r="Q36" s="4"/>
    </row>
    <row r="37" spans="1:17" x14ac:dyDescent="0.25">
      <c r="A37" s="35" t="s">
        <v>71</v>
      </c>
      <c r="B37" s="52" t="s">
        <v>72</v>
      </c>
      <c r="C37" s="37" t="s">
        <v>73</v>
      </c>
      <c r="D37" s="38" t="s">
        <v>63</v>
      </c>
      <c r="E37" s="39"/>
      <c r="F37" s="39"/>
      <c r="G37" s="40"/>
      <c r="H37" s="40"/>
      <c r="I37" s="41"/>
      <c r="J37" s="42"/>
      <c r="K37" s="4"/>
      <c r="L37" s="4"/>
      <c r="M37" s="4"/>
      <c r="N37" s="4"/>
      <c r="O37" s="4"/>
      <c r="P37" s="4"/>
      <c r="Q37" s="4"/>
    </row>
    <row r="38" spans="1:17" x14ac:dyDescent="0.25">
      <c r="A38" s="35">
        <v>5467881</v>
      </c>
      <c r="B38" s="52" t="s">
        <v>74</v>
      </c>
      <c r="C38" s="37" t="s">
        <v>75</v>
      </c>
      <c r="D38" s="38" t="s">
        <v>63</v>
      </c>
      <c r="E38" s="39"/>
      <c r="F38" s="39"/>
      <c r="G38" s="40"/>
      <c r="H38" s="40"/>
      <c r="I38" s="41"/>
      <c r="J38" s="42"/>
      <c r="K38" s="4"/>
      <c r="L38" s="4"/>
      <c r="M38" s="4"/>
      <c r="N38" s="4"/>
      <c r="O38" s="4"/>
      <c r="P38" s="4"/>
      <c r="Q38" s="4"/>
    </row>
    <row r="39" spans="1:17" x14ac:dyDescent="0.25">
      <c r="A39" s="21"/>
      <c r="B39" s="21"/>
      <c r="C39" s="32"/>
      <c r="D39" s="33"/>
      <c r="E39" s="25"/>
      <c r="F39" s="25"/>
      <c r="G39" s="24"/>
      <c r="H39" s="24"/>
      <c r="I39" s="53"/>
      <c r="J39" s="42"/>
      <c r="K39" s="4"/>
      <c r="L39" s="4"/>
      <c r="M39" s="4"/>
      <c r="N39" s="4"/>
      <c r="O39" s="4"/>
      <c r="P39" s="4"/>
      <c r="Q39" s="4"/>
    </row>
    <row r="40" spans="1:17" x14ac:dyDescent="0.25">
      <c r="A40" s="54" t="s">
        <v>3</v>
      </c>
      <c r="B40" s="55" t="s">
        <v>4</v>
      </c>
      <c r="C40" s="56" t="s">
        <v>5</v>
      </c>
      <c r="D40" s="57" t="s">
        <v>6</v>
      </c>
      <c r="E40" s="58" t="s">
        <v>7</v>
      </c>
      <c r="F40" s="59"/>
      <c r="G40" s="58" t="s">
        <v>8</v>
      </c>
      <c r="H40" s="60"/>
      <c r="I40" s="58" t="s">
        <v>9</v>
      </c>
      <c r="J40" s="61"/>
      <c r="K40" s="4"/>
      <c r="L40" s="4"/>
      <c r="M40" s="4"/>
      <c r="N40" s="4"/>
      <c r="O40" s="4"/>
      <c r="P40" s="4"/>
      <c r="Q40" s="4"/>
    </row>
    <row r="41" spans="1:17" x14ac:dyDescent="0.25">
      <c r="A41" s="62"/>
      <c r="B41" s="63" t="s">
        <v>76</v>
      </c>
      <c r="C41" s="64"/>
      <c r="D41" s="65"/>
      <c r="E41" s="66" t="s">
        <v>11</v>
      </c>
      <c r="F41" s="66" t="s">
        <v>12</v>
      </c>
      <c r="G41" s="66" t="s">
        <v>11</v>
      </c>
      <c r="H41" s="66" t="s">
        <v>12</v>
      </c>
      <c r="I41" s="66" t="s">
        <v>11</v>
      </c>
      <c r="J41" s="67" t="s">
        <v>12</v>
      </c>
      <c r="K41" s="4"/>
      <c r="L41" s="4"/>
      <c r="M41" s="4"/>
      <c r="N41" s="4"/>
      <c r="O41" s="4"/>
      <c r="P41" s="4"/>
      <c r="Q41" s="4"/>
    </row>
    <row r="42" spans="1:17" x14ac:dyDescent="0.25">
      <c r="A42" s="68">
        <v>5636568</v>
      </c>
      <c r="B42" s="69" t="s">
        <v>77</v>
      </c>
      <c r="C42" s="70" t="s">
        <v>78</v>
      </c>
      <c r="D42" s="71" t="s">
        <v>79</v>
      </c>
      <c r="E42" s="69" t="s">
        <v>2</v>
      </c>
      <c r="F42" s="69" t="s">
        <v>2</v>
      </c>
      <c r="G42" s="72" t="s">
        <v>2</v>
      </c>
      <c r="H42" s="72" t="s">
        <v>2</v>
      </c>
      <c r="I42" s="73" t="s">
        <v>2</v>
      </c>
      <c r="J42" s="74" t="s">
        <v>2</v>
      </c>
      <c r="K42" s="75" t="s">
        <v>80</v>
      </c>
      <c r="L42" s="4"/>
      <c r="M42" s="4"/>
      <c r="N42" s="4"/>
      <c r="O42" s="4"/>
      <c r="P42" s="4"/>
      <c r="Q42" s="4"/>
    </row>
    <row r="43" spans="1:17" x14ac:dyDescent="0.25">
      <c r="A43" s="68">
        <v>5636469</v>
      </c>
      <c r="B43" s="69" t="s">
        <v>81</v>
      </c>
      <c r="C43" s="70" t="s">
        <v>78</v>
      </c>
      <c r="D43" s="71" t="s">
        <v>79</v>
      </c>
      <c r="E43" s="69" t="s">
        <v>2</v>
      </c>
      <c r="F43" s="69" t="s">
        <v>2</v>
      </c>
      <c r="G43" s="72" t="s">
        <v>2</v>
      </c>
      <c r="H43" s="72" t="s">
        <v>2</v>
      </c>
      <c r="I43" s="73" t="s">
        <v>2</v>
      </c>
      <c r="J43" s="74" t="s">
        <v>2</v>
      </c>
      <c r="K43" s="75" t="s">
        <v>80</v>
      </c>
      <c r="L43" s="4"/>
      <c r="M43" s="4"/>
      <c r="N43" s="4"/>
      <c r="O43" s="4"/>
      <c r="P43" s="4"/>
      <c r="Q43" s="4"/>
    </row>
    <row r="44" spans="1:17" x14ac:dyDescent="0.25">
      <c r="A44" s="68">
        <v>4294874</v>
      </c>
      <c r="B44" s="69" t="s">
        <v>82</v>
      </c>
      <c r="C44" s="70" t="s">
        <v>83</v>
      </c>
      <c r="D44" s="71" t="s">
        <v>84</v>
      </c>
      <c r="E44" s="69" t="s">
        <v>2</v>
      </c>
      <c r="F44" s="69" t="s">
        <v>2</v>
      </c>
      <c r="G44" s="72" t="s">
        <v>2</v>
      </c>
      <c r="H44" s="72" t="s">
        <v>2</v>
      </c>
      <c r="I44" s="73" t="s">
        <v>2</v>
      </c>
      <c r="J44" s="74" t="s">
        <v>2</v>
      </c>
      <c r="K44" s="4"/>
      <c r="L44" s="76"/>
      <c r="M44" s="4"/>
      <c r="N44" s="4"/>
      <c r="O44" s="4"/>
      <c r="P44" s="4"/>
      <c r="Q44" s="4"/>
    </row>
    <row r="45" spans="1:17" x14ac:dyDescent="0.25">
      <c r="A45" s="68">
        <v>7237403</v>
      </c>
      <c r="B45" s="77" t="s">
        <v>85</v>
      </c>
      <c r="C45" s="70" t="s">
        <v>86</v>
      </c>
      <c r="D45" s="71" t="s">
        <v>79</v>
      </c>
      <c r="E45" s="69" t="s">
        <v>2</v>
      </c>
      <c r="F45" s="69" t="s">
        <v>2</v>
      </c>
      <c r="G45" s="72" t="s">
        <v>2</v>
      </c>
      <c r="H45" s="72" t="s">
        <v>2</v>
      </c>
      <c r="I45" s="73" t="s">
        <v>2</v>
      </c>
      <c r="J45" s="74" t="s">
        <v>2</v>
      </c>
      <c r="K45" s="4"/>
      <c r="L45" s="4"/>
      <c r="M45" s="4"/>
      <c r="N45" s="4"/>
      <c r="O45" s="4"/>
      <c r="P45" s="4"/>
      <c r="Q45" s="4"/>
    </row>
    <row r="46" spans="1:17" x14ac:dyDescent="0.25">
      <c r="A46" s="68">
        <v>7006331</v>
      </c>
      <c r="B46" s="69" t="s">
        <v>87</v>
      </c>
      <c r="C46" s="70" t="s">
        <v>86</v>
      </c>
      <c r="D46" s="71" t="s">
        <v>79</v>
      </c>
      <c r="E46" s="69" t="s">
        <v>2</v>
      </c>
      <c r="F46" s="69" t="s">
        <v>2</v>
      </c>
      <c r="G46" s="72" t="s">
        <v>2</v>
      </c>
      <c r="H46" s="72" t="s">
        <v>2</v>
      </c>
      <c r="I46" s="73" t="s">
        <v>2</v>
      </c>
      <c r="J46" s="74" t="s">
        <v>2</v>
      </c>
      <c r="K46" s="4"/>
      <c r="L46" s="4"/>
      <c r="M46" s="4"/>
      <c r="N46" s="4"/>
      <c r="O46" s="4"/>
      <c r="P46" s="4"/>
      <c r="Q46" s="4"/>
    </row>
    <row r="47" spans="1:17" x14ac:dyDescent="0.25">
      <c r="A47" s="68">
        <v>7115226</v>
      </c>
      <c r="B47" s="69" t="s">
        <v>88</v>
      </c>
      <c r="C47" s="70" t="s">
        <v>86</v>
      </c>
      <c r="D47" s="71" t="s">
        <v>79</v>
      </c>
      <c r="E47" s="69" t="s">
        <v>2</v>
      </c>
      <c r="F47" s="69" t="s">
        <v>2</v>
      </c>
      <c r="G47" s="72" t="s">
        <v>2</v>
      </c>
      <c r="H47" s="72" t="s">
        <v>2</v>
      </c>
      <c r="I47" s="73" t="s">
        <v>2</v>
      </c>
      <c r="J47" s="74" t="s">
        <v>2</v>
      </c>
      <c r="K47" s="4"/>
      <c r="L47" s="4"/>
      <c r="M47" s="4"/>
      <c r="N47" s="4"/>
      <c r="O47" s="4"/>
      <c r="P47" s="4"/>
      <c r="Q47" s="4"/>
    </row>
    <row r="48" spans="1:17" x14ac:dyDescent="0.25">
      <c r="A48" s="68">
        <v>5365077</v>
      </c>
      <c r="B48" s="69" t="s">
        <v>89</v>
      </c>
      <c r="C48" s="70" t="s">
        <v>90</v>
      </c>
      <c r="D48" s="71" t="s">
        <v>79</v>
      </c>
      <c r="E48" s="69"/>
      <c r="F48" s="69"/>
      <c r="G48" s="72"/>
      <c r="H48" s="72"/>
      <c r="I48" s="73"/>
      <c r="J48" s="74"/>
      <c r="K48" s="4"/>
      <c r="L48" s="4"/>
      <c r="M48" s="4"/>
      <c r="N48" s="4"/>
      <c r="O48" s="4"/>
      <c r="P48" s="4"/>
      <c r="Q48" s="4"/>
    </row>
    <row r="49" spans="1:17" x14ac:dyDescent="0.25">
      <c r="A49" s="68">
        <v>8458856</v>
      </c>
      <c r="B49" s="69" t="s">
        <v>91</v>
      </c>
      <c r="C49" s="78" t="s">
        <v>90</v>
      </c>
      <c r="D49" s="79" t="s">
        <v>53</v>
      </c>
      <c r="E49" s="69" t="s">
        <v>2</v>
      </c>
      <c r="F49" s="69" t="s">
        <v>2</v>
      </c>
      <c r="G49" s="72" t="s">
        <v>2</v>
      </c>
      <c r="H49" s="72" t="s">
        <v>2</v>
      </c>
      <c r="I49" s="73" t="s">
        <v>2</v>
      </c>
      <c r="J49" s="74" t="s">
        <v>2</v>
      </c>
      <c r="K49" s="4"/>
      <c r="L49" s="4"/>
      <c r="M49" s="4"/>
      <c r="N49" s="4"/>
      <c r="O49" s="4"/>
      <c r="P49" s="4"/>
      <c r="Q49" s="4"/>
    </row>
    <row r="50" spans="1:17" x14ac:dyDescent="0.25">
      <c r="A50" s="68">
        <v>1326507</v>
      </c>
      <c r="B50" s="69" t="s">
        <v>92</v>
      </c>
      <c r="C50" s="78" t="s">
        <v>93</v>
      </c>
      <c r="D50" s="79" t="s">
        <v>79</v>
      </c>
      <c r="E50" s="69" t="s">
        <v>2</v>
      </c>
      <c r="F50" s="69" t="s">
        <v>2</v>
      </c>
      <c r="G50" s="72" t="s">
        <v>2</v>
      </c>
      <c r="H50" s="72" t="s">
        <v>2</v>
      </c>
      <c r="I50" s="73" t="s">
        <v>2</v>
      </c>
      <c r="J50" s="74" t="s">
        <v>2</v>
      </c>
      <c r="K50" s="4"/>
      <c r="L50" s="4"/>
      <c r="M50" s="4"/>
      <c r="N50" s="4"/>
      <c r="O50" s="4"/>
      <c r="P50" s="4"/>
      <c r="Q50" s="4"/>
    </row>
    <row r="51" spans="1:17" x14ac:dyDescent="0.25">
      <c r="A51" s="80">
        <v>3976277</v>
      </c>
      <c r="B51" s="81" t="s">
        <v>94</v>
      </c>
      <c r="C51" s="82" t="s">
        <v>90</v>
      </c>
      <c r="D51" s="83" t="s">
        <v>79</v>
      </c>
      <c r="E51" s="81" t="s">
        <v>2</v>
      </c>
      <c r="F51" s="81" t="s">
        <v>2</v>
      </c>
      <c r="G51" s="84" t="s">
        <v>2</v>
      </c>
      <c r="H51" s="84" t="s">
        <v>2</v>
      </c>
      <c r="I51" s="85" t="s">
        <v>2</v>
      </c>
      <c r="J51" s="86" t="s">
        <v>2</v>
      </c>
      <c r="K51" s="4"/>
      <c r="L51" s="4"/>
      <c r="M51" s="4"/>
      <c r="N51" s="4"/>
      <c r="O51" s="4"/>
      <c r="P51" s="4"/>
      <c r="Q51" s="4"/>
    </row>
  </sheetData>
  <mergeCells count="14">
    <mergeCell ref="A1:J1"/>
    <mergeCell ref="A2:J2"/>
    <mergeCell ref="E3:F3"/>
    <mergeCell ref="G3:H3"/>
    <mergeCell ref="I3:J3"/>
    <mergeCell ref="A3:A4"/>
    <mergeCell ref="C3:C4"/>
    <mergeCell ref="D3:D4"/>
    <mergeCell ref="E40:F40"/>
    <mergeCell ref="G40:H40"/>
    <mergeCell ref="I40:J40"/>
    <mergeCell ref="A40:A41"/>
    <mergeCell ref="C40:C41"/>
    <mergeCell ref="D40:D41"/>
  </mergeCells>
  <hyperlinks>
    <hyperlink ref="A36" r:id="rId1"/>
    <hyperlink ref="A37" r:id="rId2"/>
  </hyperlinks>
  <printOptions horizontalCentered="1" verticalCentered="1"/>
  <pageMargins left="0.7" right="0.7" top="0.75" bottom="0.75" header="0.3" footer="0.3"/>
  <pageSetup orientation="portrait" horizontalDpi="4294967295" verticalDpi="4294967295" scale="85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Sysco Order Guide - Kitchen</vt:lpstr>
      <vt:lpstr>Recipe Bible Table of Contents</vt:lpstr>
      <vt:lpstr>Prep Sheets</vt:lpstr>
      <vt:lpstr>Pantry</vt:lpstr>
      <vt:lpstr>GrillPlancha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Kenny Gilbert</cp:lastModifiedBy>
  <cp:contentStatus/>
  <dcterms:created xsi:type="dcterms:W3CDTF">2024-01-26T16:38:41Z</dcterms:created>
  <dcterms:modified xsi:type="dcterms:W3CDTF">2025-11-22T18:30:07Z</dcterms:modified>
</cp:coreProperties>
</file>